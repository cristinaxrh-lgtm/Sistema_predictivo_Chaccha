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IS\Sistema_Predictivo_Chaccha_Destilería\"/>
    </mc:Choice>
  </mc:AlternateContent>
  <xr:revisionPtr revIDLastSave="0" documentId="13_ncr:1_{393F9D48-2A20-420B-8D09-79A0F620968E}" xr6:coauthVersionLast="46" xr6:coauthVersionMax="46" xr10:uidLastSave="{00000000-0000-0000-0000-000000000000}"/>
  <bookViews>
    <workbookView xWindow="4245" yWindow="2535" windowWidth="19215" windowHeight="12960" activeTab="1" xr2:uid="{A1D7D4EB-CF1C-493E-9DBC-D539DD679B9C}"/>
  </bookViews>
  <sheets>
    <sheet name="CCA" sheetId="1" r:id="rId1"/>
    <sheet name="MNC" sheetId="2" r:id="rId2"/>
    <sheet name="MNA" sheetId="3" r:id="rId3"/>
    <sheet name="HLA" sheetId="4" r:id="rId4"/>
    <sheet name="CLM" sheetId="5" r:id="rId5"/>
    <sheet name="EUA" sheetId="6" r:id="rId6"/>
  </sheets>
  <definedNames>
    <definedName name="_xlnm.Print_Area" localSheetId="0">CCA!$A$1:$H$159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84" i="6" l="1"/>
  <c r="F81" i="6"/>
  <c r="F58" i="6"/>
  <c r="F30" i="6"/>
  <c r="F7" i="6"/>
  <c r="F143" i="5"/>
  <c r="F141" i="5"/>
  <c r="F139" i="5"/>
  <c r="F122" i="5"/>
  <c r="F97" i="5"/>
  <c r="F96" i="5"/>
  <c r="F92" i="5"/>
  <c r="F87" i="5"/>
  <c r="F81" i="5"/>
  <c r="F79" i="5"/>
  <c r="F76" i="5"/>
  <c r="F72" i="5"/>
  <c r="F71" i="5"/>
  <c r="F37" i="5"/>
  <c r="F33" i="5"/>
  <c r="F30" i="5"/>
  <c r="F28" i="5"/>
  <c r="F21" i="5"/>
  <c r="F18" i="5"/>
  <c r="F16" i="5"/>
  <c r="F155" i="4"/>
  <c r="F150" i="4"/>
  <c r="F148" i="4"/>
  <c r="F138" i="4"/>
  <c r="F133" i="4"/>
  <c r="F132" i="4"/>
  <c r="F127" i="4"/>
  <c r="F120" i="4"/>
  <c r="F79" i="4"/>
  <c r="F74" i="4"/>
  <c r="F66" i="4"/>
  <c r="F63" i="4"/>
  <c r="F62" i="4"/>
  <c r="F58" i="4"/>
  <c r="F36" i="4"/>
  <c r="F35" i="4"/>
  <c r="F34" i="4"/>
  <c r="F33" i="4"/>
  <c r="F25" i="4"/>
  <c r="F19" i="4"/>
  <c r="F14" i="4"/>
  <c r="F7" i="4"/>
  <c r="F150" i="3"/>
  <c r="F148" i="3"/>
  <c r="F142" i="3"/>
  <c r="F133" i="3"/>
  <c r="F132" i="3"/>
  <c r="F130" i="3"/>
  <c r="F127" i="3"/>
  <c r="F94" i="3"/>
  <c r="F81" i="3"/>
  <c r="F75" i="3"/>
  <c r="F62" i="3"/>
  <c r="F58" i="3"/>
  <c r="F51" i="3"/>
  <c r="F49" i="3"/>
  <c r="F34" i="3"/>
  <c r="F157" i="2"/>
  <c r="F136" i="2"/>
  <c r="F124" i="2"/>
  <c r="F121" i="2"/>
  <c r="F118" i="2"/>
  <c r="F53" i="2"/>
  <c r="F49" i="2"/>
  <c r="F48" i="2"/>
  <c r="F47" i="2"/>
  <c r="F42" i="2"/>
  <c r="F35" i="2"/>
  <c r="F30" i="2"/>
  <c r="F28" i="2"/>
  <c r="F25" i="2"/>
  <c r="F24" i="2"/>
  <c r="F23" i="2"/>
  <c r="F7" i="2"/>
  <c r="F6" i="2"/>
  <c r="F142" i="1"/>
  <c r="F138" i="1"/>
  <c r="F132" i="1"/>
  <c r="F121" i="1"/>
  <c r="F81" i="1"/>
  <c r="F79" i="1"/>
  <c r="F75" i="1"/>
  <c r="F69" i="1"/>
  <c r="F68" i="1"/>
  <c r="F49" i="1"/>
  <c r="F47" i="1"/>
  <c r="F41" i="1"/>
  <c r="F34" i="1"/>
  <c r="F32" i="1"/>
  <c r="F31" i="1"/>
  <c r="F25" i="1"/>
  <c r="F23" i="1"/>
  <c r="F22" i="1"/>
  <c r="F18" i="1"/>
  <c r="F17" i="1"/>
  <c r="F7" i="1"/>
  <c r="F6" i="1"/>
</calcChain>
</file>

<file path=xl/sharedStrings.xml><?xml version="1.0" encoding="utf-8"?>
<sst xmlns="http://schemas.openxmlformats.org/spreadsheetml/2006/main" count="2892" uniqueCount="18">
  <si>
    <t>Año</t>
  </si>
  <si>
    <t>Semana</t>
  </si>
  <si>
    <t>Producto</t>
  </si>
  <si>
    <t>Cantidad</t>
  </si>
  <si>
    <t>N° de clientes</t>
  </si>
  <si>
    <t>% ventas con descuento</t>
  </si>
  <si>
    <t>Fecha festiva</t>
  </si>
  <si>
    <t>Temporada</t>
  </si>
  <si>
    <t>Coca de altura</t>
  </si>
  <si>
    <t>No</t>
  </si>
  <si>
    <t>Lluvia</t>
  </si>
  <si>
    <t>Sí</t>
  </si>
  <si>
    <t>Sequía</t>
  </si>
  <si>
    <t>Muña clásica</t>
  </si>
  <si>
    <t>Muña de altura</t>
  </si>
  <si>
    <t>Hierba luisa de altura</t>
  </si>
  <si>
    <t>Crema de lima</t>
  </si>
  <si>
    <t>Eucalipto de altura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</si>
</sst>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8589F-B7BD-4D2D-A303-24A5D344EB8D}">
  <sheetPr>
    <pageSetUpPr fitToPage="1"/>
  </sheetPr>
  <dimension ref="A1:H159"/>
  <sheetViews>
    <sheetView zoomScale="85" zoomScaleNormal="85" workbookViewId="0">
      <selection activeCell="K25" sqref="K25"/>
    </sheetView>
  </sheetViews>
  <sheetFormatPr baseColWidth="10" defaultRowHeight="15" x14ac:dyDescent="0.25"/>
  <cols>
    <col min="2" max="2" width="6.57031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2023</v>
      </c>
      <c r="B2">
        <v>1</v>
      </c>
      <c r="C2" t="s">
        <v>8</v>
      </c>
      <c r="D2">
        <v>0</v>
      </c>
      <c r="E2">
        <v>0</v>
      </c>
      <c r="F2">
        <v>0</v>
      </c>
      <c r="G2" t="s">
        <v>9</v>
      </c>
      <c r="H2" t="s">
        <v>10</v>
      </c>
    </row>
    <row r="3" spans="1:8" x14ac:dyDescent="0.25">
      <c r="A3">
        <v>2023</v>
      </c>
      <c r="B3">
        <v>2</v>
      </c>
      <c r="C3" t="s">
        <v>8</v>
      </c>
      <c r="D3">
        <v>3</v>
      </c>
      <c r="E3">
        <v>2</v>
      </c>
      <c r="F3">
        <v>1</v>
      </c>
      <c r="G3" t="s">
        <v>9</v>
      </c>
      <c r="H3" t="s">
        <v>10</v>
      </c>
    </row>
    <row r="4" spans="1:8" x14ac:dyDescent="0.25">
      <c r="A4">
        <v>2023</v>
      </c>
      <c r="B4">
        <v>3</v>
      </c>
      <c r="C4" t="s">
        <v>8</v>
      </c>
      <c r="D4">
        <v>12</v>
      </c>
      <c r="E4">
        <v>1</v>
      </c>
      <c r="F4">
        <v>1</v>
      </c>
      <c r="G4" t="s">
        <v>9</v>
      </c>
      <c r="H4" t="s">
        <v>10</v>
      </c>
    </row>
    <row r="5" spans="1:8" x14ac:dyDescent="0.25">
      <c r="A5">
        <v>2023</v>
      </c>
      <c r="B5">
        <v>4</v>
      </c>
      <c r="C5" t="s">
        <v>8</v>
      </c>
      <c r="D5">
        <v>4</v>
      </c>
      <c r="E5">
        <v>4</v>
      </c>
      <c r="F5">
        <v>1</v>
      </c>
      <c r="G5" t="s">
        <v>9</v>
      </c>
      <c r="H5" t="s">
        <v>10</v>
      </c>
    </row>
    <row r="6" spans="1:8" x14ac:dyDescent="0.25">
      <c r="A6">
        <v>2023</v>
      </c>
      <c r="B6">
        <v>5</v>
      </c>
      <c r="C6" t="s">
        <v>8</v>
      </c>
      <c r="D6">
        <v>5</v>
      </c>
      <c r="E6">
        <v>3</v>
      </c>
      <c r="F6">
        <f>2/3</f>
        <v>0.66666666666666663</v>
      </c>
      <c r="G6" t="s">
        <v>11</v>
      </c>
      <c r="H6" t="s">
        <v>10</v>
      </c>
    </row>
    <row r="7" spans="1:8" x14ac:dyDescent="0.25">
      <c r="A7">
        <v>2023</v>
      </c>
      <c r="B7">
        <v>6</v>
      </c>
      <c r="C7" t="s">
        <v>8</v>
      </c>
      <c r="D7">
        <v>6</v>
      </c>
      <c r="E7">
        <v>3</v>
      </c>
      <c r="F7">
        <f>2/3</f>
        <v>0.66666666666666663</v>
      </c>
      <c r="G7" t="s">
        <v>11</v>
      </c>
      <c r="H7" t="s">
        <v>10</v>
      </c>
    </row>
    <row r="8" spans="1:8" x14ac:dyDescent="0.25">
      <c r="A8">
        <v>2023</v>
      </c>
      <c r="B8">
        <v>7</v>
      </c>
      <c r="C8" t="s">
        <v>8</v>
      </c>
      <c r="D8">
        <v>24</v>
      </c>
      <c r="E8">
        <v>2</v>
      </c>
      <c r="F8">
        <v>1</v>
      </c>
      <c r="G8" t="s">
        <v>11</v>
      </c>
      <c r="H8" t="s">
        <v>10</v>
      </c>
    </row>
    <row r="9" spans="1:8" x14ac:dyDescent="0.25">
      <c r="A9">
        <v>2023</v>
      </c>
      <c r="B9">
        <v>8</v>
      </c>
      <c r="C9" t="s">
        <v>8</v>
      </c>
      <c r="D9">
        <v>17</v>
      </c>
      <c r="E9">
        <v>4</v>
      </c>
      <c r="F9">
        <v>0.5</v>
      </c>
      <c r="G9" t="s">
        <v>11</v>
      </c>
      <c r="H9" t="s">
        <v>10</v>
      </c>
    </row>
    <row r="10" spans="1:8" x14ac:dyDescent="0.25">
      <c r="A10">
        <v>2023</v>
      </c>
      <c r="B10">
        <v>9</v>
      </c>
      <c r="C10" t="s">
        <v>8</v>
      </c>
      <c r="D10">
        <v>0</v>
      </c>
      <c r="E10">
        <v>0</v>
      </c>
      <c r="F10">
        <v>0</v>
      </c>
      <c r="G10" t="s">
        <v>9</v>
      </c>
      <c r="H10" t="s">
        <v>10</v>
      </c>
    </row>
    <row r="11" spans="1:8" x14ac:dyDescent="0.25">
      <c r="A11">
        <v>2023</v>
      </c>
      <c r="B11">
        <v>10</v>
      </c>
      <c r="C11" t="s">
        <v>8</v>
      </c>
      <c r="D11">
        <v>23</v>
      </c>
      <c r="E11">
        <v>5</v>
      </c>
      <c r="F11">
        <v>1</v>
      </c>
      <c r="G11" t="s">
        <v>9</v>
      </c>
      <c r="H11" t="s">
        <v>10</v>
      </c>
    </row>
    <row r="12" spans="1:8" x14ac:dyDescent="0.25">
      <c r="A12">
        <v>2023</v>
      </c>
      <c r="B12">
        <v>11</v>
      </c>
      <c r="C12" t="s">
        <v>8</v>
      </c>
      <c r="D12">
        <v>2</v>
      </c>
      <c r="E12">
        <v>2</v>
      </c>
      <c r="F12">
        <v>0.5</v>
      </c>
      <c r="G12" t="s">
        <v>9</v>
      </c>
      <c r="H12" t="s">
        <v>10</v>
      </c>
    </row>
    <row r="13" spans="1:8" x14ac:dyDescent="0.25">
      <c r="A13">
        <v>2023</v>
      </c>
      <c r="B13">
        <v>12</v>
      </c>
      <c r="C13" t="s">
        <v>8</v>
      </c>
      <c r="D13">
        <v>2</v>
      </c>
      <c r="E13">
        <v>2</v>
      </c>
      <c r="F13">
        <v>0.5</v>
      </c>
      <c r="G13" t="s">
        <v>9</v>
      </c>
      <c r="H13" t="s">
        <v>10</v>
      </c>
    </row>
    <row r="14" spans="1:8" x14ac:dyDescent="0.25">
      <c r="A14">
        <v>2023</v>
      </c>
      <c r="B14">
        <v>13</v>
      </c>
      <c r="C14" t="s">
        <v>8</v>
      </c>
      <c r="D14">
        <v>10</v>
      </c>
      <c r="E14">
        <v>1</v>
      </c>
      <c r="F14">
        <v>1</v>
      </c>
      <c r="G14" t="s">
        <v>9</v>
      </c>
      <c r="H14" t="s">
        <v>10</v>
      </c>
    </row>
    <row r="15" spans="1:8" x14ac:dyDescent="0.25">
      <c r="A15">
        <v>2023</v>
      </c>
      <c r="B15">
        <v>14</v>
      </c>
      <c r="C15" t="s">
        <v>8</v>
      </c>
      <c r="D15">
        <v>32</v>
      </c>
      <c r="E15">
        <v>8</v>
      </c>
      <c r="F15">
        <v>1</v>
      </c>
      <c r="G15" t="s">
        <v>11</v>
      </c>
      <c r="H15" t="s">
        <v>12</v>
      </c>
    </row>
    <row r="16" spans="1:8" x14ac:dyDescent="0.25">
      <c r="A16">
        <v>2023</v>
      </c>
      <c r="B16">
        <v>15</v>
      </c>
      <c r="C16" t="s">
        <v>8</v>
      </c>
      <c r="D16">
        <v>14</v>
      </c>
      <c r="E16">
        <v>3</v>
      </c>
      <c r="F16">
        <v>1</v>
      </c>
      <c r="G16" t="s">
        <v>9</v>
      </c>
      <c r="H16" t="s">
        <v>12</v>
      </c>
    </row>
    <row r="17" spans="1:8" x14ac:dyDescent="0.25">
      <c r="A17">
        <v>2023</v>
      </c>
      <c r="B17">
        <v>16</v>
      </c>
      <c r="C17" t="s">
        <v>8</v>
      </c>
      <c r="D17">
        <v>12</v>
      </c>
      <c r="E17">
        <v>5</v>
      </c>
      <c r="F17">
        <f>4/5</f>
        <v>0.8</v>
      </c>
      <c r="G17" t="s">
        <v>9</v>
      </c>
      <c r="H17" t="s">
        <v>12</v>
      </c>
    </row>
    <row r="18" spans="1:8" x14ac:dyDescent="0.25">
      <c r="A18">
        <v>2023</v>
      </c>
      <c r="B18">
        <v>17</v>
      </c>
      <c r="C18" t="s">
        <v>8</v>
      </c>
      <c r="D18">
        <v>3</v>
      </c>
      <c r="E18">
        <v>3</v>
      </c>
      <c r="F18">
        <f>2/3</f>
        <v>0.66666666666666663</v>
      </c>
      <c r="G18" t="s">
        <v>9</v>
      </c>
      <c r="H18" t="s">
        <v>12</v>
      </c>
    </row>
    <row r="19" spans="1:8" x14ac:dyDescent="0.25">
      <c r="A19">
        <v>2023</v>
      </c>
      <c r="B19">
        <v>18</v>
      </c>
      <c r="C19" t="s">
        <v>8</v>
      </c>
      <c r="D19">
        <v>9</v>
      </c>
      <c r="E19">
        <v>2</v>
      </c>
      <c r="F19">
        <v>1</v>
      </c>
      <c r="G19" t="s">
        <v>9</v>
      </c>
      <c r="H19" t="s">
        <v>12</v>
      </c>
    </row>
    <row r="20" spans="1:8" x14ac:dyDescent="0.25">
      <c r="A20">
        <v>2023</v>
      </c>
      <c r="B20">
        <v>19</v>
      </c>
      <c r="C20" t="s">
        <v>8</v>
      </c>
      <c r="D20">
        <v>8</v>
      </c>
      <c r="E20">
        <v>6</v>
      </c>
      <c r="F20">
        <v>1</v>
      </c>
      <c r="G20" t="s">
        <v>11</v>
      </c>
      <c r="H20" t="s">
        <v>12</v>
      </c>
    </row>
    <row r="21" spans="1:8" x14ac:dyDescent="0.25">
      <c r="A21">
        <v>2023</v>
      </c>
      <c r="B21">
        <v>20</v>
      </c>
      <c r="C21" t="s">
        <v>8</v>
      </c>
      <c r="D21">
        <v>9</v>
      </c>
      <c r="E21">
        <v>4</v>
      </c>
      <c r="F21">
        <v>1</v>
      </c>
      <c r="G21" t="s">
        <v>9</v>
      </c>
      <c r="H21" t="s">
        <v>12</v>
      </c>
    </row>
    <row r="22" spans="1:8" x14ac:dyDescent="0.25">
      <c r="A22">
        <v>2023</v>
      </c>
      <c r="B22">
        <v>21</v>
      </c>
      <c r="C22" t="s">
        <v>8</v>
      </c>
      <c r="D22">
        <v>18</v>
      </c>
      <c r="E22">
        <v>3</v>
      </c>
      <c r="F22">
        <f>2/3</f>
        <v>0.66666666666666663</v>
      </c>
      <c r="G22" t="s">
        <v>9</v>
      </c>
      <c r="H22" t="s">
        <v>12</v>
      </c>
    </row>
    <row r="23" spans="1:8" x14ac:dyDescent="0.25">
      <c r="A23">
        <v>2023</v>
      </c>
      <c r="B23">
        <v>22</v>
      </c>
      <c r="C23" t="s">
        <v>8</v>
      </c>
      <c r="D23">
        <v>16</v>
      </c>
      <c r="E23">
        <v>6</v>
      </c>
      <c r="F23">
        <f>5/6</f>
        <v>0.83333333333333337</v>
      </c>
      <c r="G23" t="s">
        <v>9</v>
      </c>
      <c r="H23" t="s">
        <v>12</v>
      </c>
    </row>
    <row r="24" spans="1:8" x14ac:dyDescent="0.25">
      <c r="A24">
        <v>2023</v>
      </c>
      <c r="B24">
        <v>23</v>
      </c>
      <c r="C24" t="s">
        <v>8</v>
      </c>
      <c r="D24">
        <v>10</v>
      </c>
      <c r="E24">
        <v>3</v>
      </c>
      <c r="F24">
        <v>1</v>
      </c>
      <c r="G24" t="s">
        <v>9</v>
      </c>
      <c r="H24" t="s">
        <v>12</v>
      </c>
    </row>
    <row r="25" spans="1:8" x14ac:dyDescent="0.25">
      <c r="A25">
        <v>2023</v>
      </c>
      <c r="B25">
        <v>24</v>
      </c>
      <c r="C25" t="s">
        <v>8</v>
      </c>
      <c r="D25">
        <v>10</v>
      </c>
      <c r="E25">
        <v>7</v>
      </c>
      <c r="F25">
        <f>6/7</f>
        <v>0.8571428571428571</v>
      </c>
      <c r="G25" t="s">
        <v>11</v>
      </c>
      <c r="H25" t="s">
        <v>12</v>
      </c>
    </row>
    <row r="26" spans="1:8" x14ac:dyDescent="0.25">
      <c r="A26">
        <v>2023</v>
      </c>
      <c r="B26">
        <v>25</v>
      </c>
      <c r="C26" t="s">
        <v>8</v>
      </c>
      <c r="D26">
        <v>0</v>
      </c>
      <c r="E26">
        <v>0</v>
      </c>
      <c r="F26">
        <v>0</v>
      </c>
      <c r="G26" t="s">
        <v>9</v>
      </c>
      <c r="H26" t="s">
        <v>12</v>
      </c>
    </row>
    <row r="27" spans="1:8" x14ac:dyDescent="0.25">
      <c r="A27">
        <v>2023</v>
      </c>
      <c r="B27">
        <v>26</v>
      </c>
      <c r="C27" t="s">
        <v>8</v>
      </c>
      <c r="D27">
        <v>18</v>
      </c>
      <c r="E27">
        <v>3</v>
      </c>
      <c r="F27">
        <v>1</v>
      </c>
      <c r="G27" t="s">
        <v>9</v>
      </c>
      <c r="H27" t="s">
        <v>12</v>
      </c>
    </row>
    <row r="28" spans="1:8" x14ac:dyDescent="0.25">
      <c r="A28">
        <v>2023</v>
      </c>
      <c r="B28">
        <v>27</v>
      </c>
      <c r="C28" t="s">
        <v>8</v>
      </c>
      <c r="D28">
        <v>10</v>
      </c>
      <c r="E28">
        <v>2</v>
      </c>
      <c r="F28">
        <v>0.5</v>
      </c>
      <c r="G28" t="s">
        <v>9</v>
      </c>
      <c r="H28" t="s">
        <v>12</v>
      </c>
    </row>
    <row r="29" spans="1:8" x14ac:dyDescent="0.25">
      <c r="A29">
        <v>2023</v>
      </c>
      <c r="B29">
        <v>28</v>
      </c>
      <c r="C29" t="s">
        <v>8</v>
      </c>
      <c r="D29">
        <v>1</v>
      </c>
      <c r="E29">
        <v>1</v>
      </c>
      <c r="F29">
        <v>1</v>
      </c>
      <c r="G29" t="s">
        <v>9</v>
      </c>
      <c r="H29" t="s">
        <v>12</v>
      </c>
    </row>
    <row r="30" spans="1:8" x14ac:dyDescent="0.25">
      <c r="A30">
        <v>2023</v>
      </c>
      <c r="B30">
        <v>29</v>
      </c>
      <c r="C30" t="s">
        <v>8</v>
      </c>
      <c r="D30">
        <v>7</v>
      </c>
      <c r="E30">
        <v>2</v>
      </c>
      <c r="F30">
        <v>1</v>
      </c>
      <c r="G30" t="s">
        <v>11</v>
      </c>
      <c r="H30" t="s">
        <v>12</v>
      </c>
    </row>
    <row r="31" spans="1:8" x14ac:dyDescent="0.25">
      <c r="A31">
        <v>2023</v>
      </c>
      <c r="B31">
        <v>30</v>
      </c>
      <c r="C31" t="s">
        <v>8</v>
      </c>
      <c r="D31">
        <v>85</v>
      </c>
      <c r="E31">
        <v>12</v>
      </c>
      <c r="F31">
        <f>11/12</f>
        <v>0.91666666666666663</v>
      </c>
      <c r="G31" t="s">
        <v>11</v>
      </c>
      <c r="H31" t="s">
        <v>12</v>
      </c>
    </row>
    <row r="32" spans="1:8" x14ac:dyDescent="0.25">
      <c r="A32">
        <v>2023</v>
      </c>
      <c r="B32">
        <v>31</v>
      </c>
      <c r="C32" t="s">
        <v>8</v>
      </c>
      <c r="D32">
        <v>28</v>
      </c>
      <c r="E32">
        <v>8</v>
      </c>
      <c r="F32">
        <f>6/8</f>
        <v>0.75</v>
      </c>
      <c r="G32" t="s">
        <v>11</v>
      </c>
      <c r="H32" t="s">
        <v>12</v>
      </c>
    </row>
    <row r="33" spans="1:8" x14ac:dyDescent="0.25">
      <c r="A33">
        <v>2023</v>
      </c>
      <c r="B33">
        <v>32</v>
      </c>
      <c r="C33" t="s">
        <v>8</v>
      </c>
      <c r="D33">
        <v>28</v>
      </c>
      <c r="E33">
        <v>4</v>
      </c>
      <c r="F33">
        <v>1</v>
      </c>
      <c r="G33" t="s">
        <v>9</v>
      </c>
      <c r="H33" t="s">
        <v>12</v>
      </c>
    </row>
    <row r="34" spans="1:8" x14ac:dyDescent="0.25">
      <c r="A34">
        <v>2023</v>
      </c>
      <c r="B34">
        <v>33</v>
      </c>
      <c r="C34" t="s">
        <v>8</v>
      </c>
      <c r="D34">
        <v>31</v>
      </c>
      <c r="E34">
        <v>6</v>
      </c>
      <c r="F34">
        <f>5/6</f>
        <v>0.83333333333333337</v>
      </c>
      <c r="G34" t="s">
        <v>9</v>
      </c>
      <c r="H34" t="s">
        <v>12</v>
      </c>
    </row>
    <row r="35" spans="1:8" x14ac:dyDescent="0.25">
      <c r="A35">
        <v>2023</v>
      </c>
      <c r="B35">
        <v>34</v>
      </c>
      <c r="C35" t="s">
        <v>8</v>
      </c>
      <c r="D35">
        <v>22</v>
      </c>
      <c r="E35">
        <v>5</v>
      </c>
      <c r="F35">
        <v>1</v>
      </c>
      <c r="G35" t="s">
        <v>9</v>
      </c>
      <c r="H35" t="s">
        <v>12</v>
      </c>
    </row>
    <row r="36" spans="1:8" x14ac:dyDescent="0.25">
      <c r="A36">
        <v>2023</v>
      </c>
      <c r="B36">
        <v>35</v>
      </c>
      <c r="C36" t="s">
        <v>8</v>
      </c>
      <c r="D36">
        <v>13</v>
      </c>
      <c r="E36">
        <v>2</v>
      </c>
      <c r="F36">
        <v>0.5</v>
      </c>
      <c r="G36" t="s">
        <v>9</v>
      </c>
      <c r="H36" t="s">
        <v>12</v>
      </c>
    </row>
    <row r="37" spans="1:8" x14ac:dyDescent="0.25">
      <c r="A37">
        <v>2023</v>
      </c>
      <c r="B37">
        <v>36</v>
      </c>
      <c r="C37" t="s">
        <v>8</v>
      </c>
      <c r="D37">
        <v>14</v>
      </c>
      <c r="E37">
        <v>4</v>
      </c>
      <c r="F37">
        <v>1</v>
      </c>
      <c r="G37" t="s">
        <v>9</v>
      </c>
      <c r="H37" t="s">
        <v>12</v>
      </c>
    </row>
    <row r="38" spans="1:8" x14ac:dyDescent="0.25">
      <c r="A38">
        <v>2023</v>
      </c>
      <c r="B38">
        <v>37</v>
      </c>
      <c r="C38" t="s">
        <v>8</v>
      </c>
      <c r="D38">
        <v>25</v>
      </c>
      <c r="E38">
        <v>3</v>
      </c>
      <c r="F38">
        <v>1</v>
      </c>
      <c r="G38" t="s">
        <v>9</v>
      </c>
      <c r="H38" t="s">
        <v>12</v>
      </c>
    </row>
    <row r="39" spans="1:8" x14ac:dyDescent="0.25">
      <c r="A39">
        <v>2023</v>
      </c>
      <c r="B39">
        <v>38</v>
      </c>
      <c r="C39" t="s">
        <v>8</v>
      </c>
      <c r="D39">
        <v>15</v>
      </c>
      <c r="E39">
        <v>3</v>
      </c>
      <c r="F39">
        <v>1</v>
      </c>
      <c r="G39" t="s">
        <v>9</v>
      </c>
      <c r="H39" t="s">
        <v>12</v>
      </c>
    </row>
    <row r="40" spans="1:8" x14ac:dyDescent="0.25">
      <c r="A40">
        <v>2023</v>
      </c>
      <c r="B40">
        <v>39</v>
      </c>
      <c r="C40" t="s">
        <v>8</v>
      </c>
      <c r="D40">
        <v>1</v>
      </c>
      <c r="E40">
        <v>1</v>
      </c>
      <c r="F40">
        <v>0</v>
      </c>
      <c r="G40" t="s">
        <v>9</v>
      </c>
      <c r="H40" t="s">
        <v>12</v>
      </c>
    </row>
    <row r="41" spans="1:8" x14ac:dyDescent="0.25">
      <c r="A41">
        <v>2023</v>
      </c>
      <c r="B41">
        <v>40</v>
      </c>
      <c r="C41" t="s">
        <v>8</v>
      </c>
      <c r="D41">
        <v>16</v>
      </c>
      <c r="E41">
        <v>3</v>
      </c>
      <c r="F41">
        <f>2/3</f>
        <v>0.66666666666666663</v>
      </c>
      <c r="G41" t="s">
        <v>9</v>
      </c>
      <c r="H41" t="s">
        <v>12</v>
      </c>
    </row>
    <row r="42" spans="1:8" x14ac:dyDescent="0.25">
      <c r="A42">
        <v>2023</v>
      </c>
      <c r="B42">
        <v>41</v>
      </c>
      <c r="C42" t="s">
        <v>8</v>
      </c>
      <c r="D42">
        <v>7</v>
      </c>
      <c r="E42">
        <v>6</v>
      </c>
      <c r="F42">
        <v>1</v>
      </c>
      <c r="G42" t="s">
        <v>9</v>
      </c>
      <c r="H42" t="s">
        <v>12</v>
      </c>
    </row>
    <row r="43" spans="1:8" x14ac:dyDescent="0.25">
      <c r="A43">
        <v>2023</v>
      </c>
      <c r="B43">
        <v>42</v>
      </c>
      <c r="C43" t="s">
        <v>8</v>
      </c>
      <c r="D43">
        <v>22</v>
      </c>
      <c r="E43">
        <v>5</v>
      </c>
      <c r="F43">
        <v>1</v>
      </c>
      <c r="G43" t="s">
        <v>9</v>
      </c>
      <c r="H43" t="s">
        <v>12</v>
      </c>
    </row>
    <row r="44" spans="1:8" x14ac:dyDescent="0.25">
      <c r="A44">
        <v>2023</v>
      </c>
      <c r="B44">
        <v>43</v>
      </c>
      <c r="C44" t="s">
        <v>8</v>
      </c>
      <c r="D44">
        <v>4</v>
      </c>
      <c r="E44">
        <v>1</v>
      </c>
      <c r="F44">
        <v>1</v>
      </c>
      <c r="G44" t="s">
        <v>9</v>
      </c>
      <c r="H44" t="s">
        <v>12</v>
      </c>
    </row>
    <row r="45" spans="1:8" x14ac:dyDescent="0.25">
      <c r="A45">
        <v>2023</v>
      </c>
      <c r="B45">
        <v>44</v>
      </c>
      <c r="C45" t="s">
        <v>8</v>
      </c>
      <c r="D45">
        <v>17</v>
      </c>
      <c r="E45">
        <v>3</v>
      </c>
      <c r="F45">
        <v>1</v>
      </c>
      <c r="G45" t="s">
        <v>9</v>
      </c>
      <c r="H45" t="s">
        <v>12</v>
      </c>
    </row>
    <row r="46" spans="1:8" x14ac:dyDescent="0.25">
      <c r="A46">
        <v>2023</v>
      </c>
      <c r="B46">
        <v>45</v>
      </c>
      <c r="C46" t="s">
        <v>8</v>
      </c>
      <c r="D46">
        <v>12</v>
      </c>
      <c r="E46">
        <v>1</v>
      </c>
      <c r="F46">
        <v>1</v>
      </c>
      <c r="G46" t="s">
        <v>9</v>
      </c>
      <c r="H46" t="s">
        <v>10</v>
      </c>
    </row>
    <row r="47" spans="1:8" x14ac:dyDescent="0.25">
      <c r="A47">
        <v>2023</v>
      </c>
      <c r="B47">
        <v>46</v>
      </c>
      <c r="C47" t="s">
        <v>8</v>
      </c>
      <c r="D47">
        <v>20</v>
      </c>
      <c r="E47">
        <v>8</v>
      </c>
      <c r="F47">
        <f>6/8</f>
        <v>0.75</v>
      </c>
      <c r="G47" t="s">
        <v>9</v>
      </c>
      <c r="H47" t="s">
        <v>10</v>
      </c>
    </row>
    <row r="48" spans="1:8" x14ac:dyDescent="0.25">
      <c r="A48">
        <v>2023</v>
      </c>
      <c r="B48">
        <v>47</v>
      </c>
      <c r="C48" t="s">
        <v>8</v>
      </c>
      <c r="D48">
        <v>17</v>
      </c>
      <c r="E48">
        <v>6</v>
      </c>
      <c r="F48">
        <v>1</v>
      </c>
      <c r="G48" t="s">
        <v>9</v>
      </c>
      <c r="H48" t="s">
        <v>10</v>
      </c>
    </row>
    <row r="49" spans="1:8" x14ac:dyDescent="0.25">
      <c r="A49">
        <v>2023</v>
      </c>
      <c r="B49">
        <v>48</v>
      </c>
      <c r="C49" t="s">
        <v>8</v>
      </c>
      <c r="D49">
        <v>18</v>
      </c>
      <c r="E49">
        <v>4</v>
      </c>
      <c r="F49">
        <f>3/4</f>
        <v>0.75</v>
      </c>
      <c r="G49" t="s">
        <v>9</v>
      </c>
      <c r="H49" t="s">
        <v>10</v>
      </c>
    </row>
    <row r="50" spans="1:8" x14ac:dyDescent="0.25">
      <c r="A50">
        <v>2023</v>
      </c>
      <c r="B50">
        <v>49</v>
      </c>
      <c r="C50" t="s">
        <v>8</v>
      </c>
      <c r="D50">
        <v>62</v>
      </c>
      <c r="E50">
        <v>2</v>
      </c>
      <c r="F50">
        <v>1</v>
      </c>
      <c r="G50" t="s">
        <v>9</v>
      </c>
      <c r="H50" t="s">
        <v>10</v>
      </c>
    </row>
    <row r="51" spans="1:8" x14ac:dyDescent="0.25">
      <c r="A51">
        <v>2023</v>
      </c>
      <c r="B51">
        <v>50</v>
      </c>
      <c r="C51" t="s">
        <v>8</v>
      </c>
      <c r="D51">
        <v>5</v>
      </c>
      <c r="E51">
        <v>2</v>
      </c>
      <c r="F51">
        <v>1</v>
      </c>
      <c r="G51" t="s">
        <v>11</v>
      </c>
      <c r="H51" t="s">
        <v>10</v>
      </c>
    </row>
    <row r="52" spans="1:8" x14ac:dyDescent="0.25">
      <c r="A52">
        <v>2023</v>
      </c>
      <c r="B52">
        <v>51</v>
      </c>
      <c r="C52" t="s">
        <v>8</v>
      </c>
      <c r="D52">
        <v>11</v>
      </c>
      <c r="E52">
        <v>2</v>
      </c>
      <c r="F52">
        <v>0.5</v>
      </c>
      <c r="G52" t="s">
        <v>11</v>
      </c>
      <c r="H52" t="s">
        <v>10</v>
      </c>
    </row>
    <row r="53" spans="1:8" x14ac:dyDescent="0.25">
      <c r="A53">
        <v>2023</v>
      </c>
      <c r="B53">
        <v>52</v>
      </c>
      <c r="C53" t="s">
        <v>8</v>
      </c>
      <c r="D53">
        <v>50</v>
      </c>
      <c r="E53">
        <v>3</v>
      </c>
      <c r="F53">
        <v>1</v>
      </c>
      <c r="G53" t="s">
        <v>11</v>
      </c>
      <c r="H53" t="s">
        <v>10</v>
      </c>
    </row>
    <row r="54" spans="1:8" x14ac:dyDescent="0.25">
      <c r="A54">
        <v>2024</v>
      </c>
      <c r="B54">
        <v>1</v>
      </c>
      <c r="C54" t="s">
        <v>8</v>
      </c>
      <c r="D54">
        <v>5</v>
      </c>
      <c r="E54">
        <v>2</v>
      </c>
      <c r="F54">
        <v>1</v>
      </c>
      <c r="G54" t="s">
        <v>9</v>
      </c>
      <c r="H54" t="s">
        <v>10</v>
      </c>
    </row>
    <row r="55" spans="1:8" x14ac:dyDescent="0.25">
      <c r="A55">
        <v>2024</v>
      </c>
      <c r="B55">
        <v>2</v>
      </c>
      <c r="C55" t="s">
        <v>8</v>
      </c>
      <c r="D55">
        <v>3</v>
      </c>
      <c r="E55">
        <v>1</v>
      </c>
      <c r="F55">
        <v>1</v>
      </c>
      <c r="G55" t="s">
        <v>9</v>
      </c>
      <c r="H55" t="s">
        <v>10</v>
      </c>
    </row>
    <row r="56" spans="1:8" x14ac:dyDescent="0.25">
      <c r="A56">
        <v>2024</v>
      </c>
      <c r="B56">
        <v>3</v>
      </c>
      <c r="C56" t="s">
        <v>8</v>
      </c>
      <c r="D56">
        <v>41</v>
      </c>
      <c r="E56">
        <v>4</v>
      </c>
      <c r="F56">
        <v>1</v>
      </c>
      <c r="G56" t="s">
        <v>9</v>
      </c>
      <c r="H56" t="s">
        <v>10</v>
      </c>
    </row>
    <row r="57" spans="1:8" x14ac:dyDescent="0.25">
      <c r="A57">
        <v>2024</v>
      </c>
      <c r="B57">
        <v>4</v>
      </c>
      <c r="C57" t="s">
        <v>8</v>
      </c>
      <c r="D57">
        <v>1</v>
      </c>
      <c r="E57">
        <v>1</v>
      </c>
      <c r="F57">
        <v>1</v>
      </c>
      <c r="G57" t="s">
        <v>9</v>
      </c>
      <c r="H57" t="s">
        <v>10</v>
      </c>
    </row>
    <row r="58" spans="1:8" x14ac:dyDescent="0.25">
      <c r="A58">
        <v>2024</v>
      </c>
      <c r="B58">
        <v>5</v>
      </c>
      <c r="C58" t="s">
        <v>8</v>
      </c>
      <c r="D58">
        <v>12</v>
      </c>
      <c r="E58">
        <v>5</v>
      </c>
      <c r="F58">
        <v>1</v>
      </c>
      <c r="G58" t="s">
        <v>9</v>
      </c>
      <c r="H58" t="s">
        <v>10</v>
      </c>
    </row>
    <row r="59" spans="1:8" x14ac:dyDescent="0.25">
      <c r="A59">
        <v>2024</v>
      </c>
      <c r="B59">
        <v>6</v>
      </c>
      <c r="C59" t="s">
        <v>8</v>
      </c>
      <c r="D59">
        <v>0</v>
      </c>
      <c r="E59">
        <v>0</v>
      </c>
      <c r="F59">
        <v>0</v>
      </c>
      <c r="G59" t="s">
        <v>9</v>
      </c>
      <c r="H59" t="s">
        <v>10</v>
      </c>
    </row>
    <row r="60" spans="1:8" x14ac:dyDescent="0.25">
      <c r="A60">
        <v>2024</v>
      </c>
      <c r="B60">
        <v>7</v>
      </c>
      <c r="C60" t="s">
        <v>8</v>
      </c>
      <c r="D60">
        <v>35</v>
      </c>
      <c r="E60">
        <v>10</v>
      </c>
      <c r="F60">
        <v>1</v>
      </c>
      <c r="G60" t="s">
        <v>11</v>
      </c>
      <c r="H60" t="s">
        <v>10</v>
      </c>
    </row>
    <row r="61" spans="1:8" x14ac:dyDescent="0.25">
      <c r="A61">
        <v>2024</v>
      </c>
      <c r="B61">
        <v>8</v>
      </c>
      <c r="C61" t="s">
        <v>8</v>
      </c>
      <c r="D61">
        <v>4</v>
      </c>
      <c r="E61">
        <v>2</v>
      </c>
      <c r="F61">
        <v>1</v>
      </c>
      <c r="G61" t="s">
        <v>9</v>
      </c>
      <c r="H61" t="s">
        <v>10</v>
      </c>
    </row>
    <row r="62" spans="1:8" x14ac:dyDescent="0.25">
      <c r="A62">
        <v>2024</v>
      </c>
      <c r="B62">
        <v>9</v>
      </c>
      <c r="C62" t="s">
        <v>8</v>
      </c>
      <c r="D62">
        <v>3</v>
      </c>
      <c r="E62">
        <v>1</v>
      </c>
      <c r="F62">
        <v>1</v>
      </c>
      <c r="G62" t="s">
        <v>9</v>
      </c>
      <c r="H62" t="s">
        <v>10</v>
      </c>
    </row>
    <row r="63" spans="1:8" x14ac:dyDescent="0.25">
      <c r="A63">
        <v>2024</v>
      </c>
      <c r="B63">
        <v>10</v>
      </c>
      <c r="C63" t="s">
        <v>8</v>
      </c>
      <c r="D63">
        <v>14</v>
      </c>
      <c r="E63">
        <v>4</v>
      </c>
      <c r="F63">
        <v>1</v>
      </c>
      <c r="G63" t="s">
        <v>9</v>
      </c>
      <c r="H63" t="s">
        <v>10</v>
      </c>
    </row>
    <row r="64" spans="1:8" x14ac:dyDescent="0.25">
      <c r="A64">
        <v>2024</v>
      </c>
      <c r="B64">
        <v>11</v>
      </c>
      <c r="C64" t="s">
        <v>8</v>
      </c>
      <c r="D64">
        <v>20</v>
      </c>
      <c r="E64">
        <v>5</v>
      </c>
      <c r="F64">
        <v>1</v>
      </c>
      <c r="G64" t="s">
        <v>9</v>
      </c>
      <c r="H64" t="s">
        <v>10</v>
      </c>
    </row>
    <row r="65" spans="1:8" x14ac:dyDescent="0.25">
      <c r="A65">
        <v>2024</v>
      </c>
      <c r="B65">
        <v>12</v>
      </c>
      <c r="C65" t="s">
        <v>8</v>
      </c>
      <c r="D65">
        <v>1</v>
      </c>
      <c r="E65">
        <v>1</v>
      </c>
      <c r="F65">
        <v>1</v>
      </c>
      <c r="G65" t="s">
        <v>9</v>
      </c>
      <c r="H65" t="s">
        <v>10</v>
      </c>
    </row>
    <row r="66" spans="1:8" x14ac:dyDescent="0.25">
      <c r="A66">
        <v>2024</v>
      </c>
      <c r="B66">
        <v>13</v>
      </c>
      <c r="C66" t="s">
        <v>8</v>
      </c>
      <c r="D66">
        <v>42</v>
      </c>
      <c r="E66">
        <v>8</v>
      </c>
      <c r="F66">
        <v>1</v>
      </c>
      <c r="G66" t="s">
        <v>11</v>
      </c>
      <c r="H66" t="s">
        <v>10</v>
      </c>
    </row>
    <row r="67" spans="1:8" x14ac:dyDescent="0.25">
      <c r="A67">
        <v>2024</v>
      </c>
      <c r="B67">
        <v>14</v>
      </c>
      <c r="C67" t="s">
        <v>8</v>
      </c>
      <c r="D67">
        <v>40</v>
      </c>
      <c r="E67">
        <v>4</v>
      </c>
      <c r="F67">
        <v>0.75</v>
      </c>
      <c r="G67" t="s">
        <v>9</v>
      </c>
      <c r="H67" t="s">
        <v>10</v>
      </c>
    </row>
    <row r="68" spans="1:8" x14ac:dyDescent="0.25">
      <c r="A68">
        <v>2024</v>
      </c>
      <c r="B68">
        <v>15</v>
      </c>
      <c r="C68" t="s">
        <v>8</v>
      </c>
      <c r="D68">
        <v>43</v>
      </c>
      <c r="E68">
        <v>7</v>
      </c>
      <c r="F68">
        <f>6/7</f>
        <v>0.8571428571428571</v>
      </c>
      <c r="G68" t="s">
        <v>9</v>
      </c>
      <c r="H68" t="s">
        <v>10</v>
      </c>
    </row>
    <row r="69" spans="1:8" x14ac:dyDescent="0.25">
      <c r="A69">
        <v>2024</v>
      </c>
      <c r="B69">
        <v>16</v>
      </c>
      <c r="C69" t="s">
        <v>8</v>
      </c>
      <c r="D69">
        <v>14</v>
      </c>
      <c r="E69">
        <v>5</v>
      </c>
      <c r="F69">
        <f>3/5</f>
        <v>0.6</v>
      </c>
      <c r="G69" t="s">
        <v>11</v>
      </c>
      <c r="H69" t="s">
        <v>10</v>
      </c>
    </row>
    <row r="70" spans="1:8" x14ac:dyDescent="0.25">
      <c r="A70">
        <v>2024</v>
      </c>
      <c r="B70">
        <v>17</v>
      </c>
      <c r="C70" t="s">
        <v>8</v>
      </c>
      <c r="D70">
        <v>16</v>
      </c>
      <c r="E70">
        <v>5</v>
      </c>
      <c r="F70">
        <v>1</v>
      </c>
      <c r="G70" t="s">
        <v>9</v>
      </c>
      <c r="H70" t="s">
        <v>12</v>
      </c>
    </row>
    <row r="71" spans="1:8" x14ac:dyDescent="0.25">
      <c r="A71">
        <v>2024</v>
      </c>
      <c r="B71">
        <v>18</v>
      </c>
      <c r="C71" t="s">
        <v>8</v>
      </c>
      <c r="D71">
        <v>20</v>
      </c>
      <c r="E71">
        <v>3</v>
      </c>
      <c r="F71">
        <v>1</v>
      </c>
      <c r="G71" t="s">
        <v>9</v>
      </c>
      <c r="H71" t="s">
        <v>12</v>
      </c>
    </row>
    <row r="72" spans="1:8" x14ac:dyDescent="0.25">
      <c r="A72">
        <v>2024</v>
      </c>
      <c r="B72">
        <v>19</v>
      </c>
      <c r="C72" t="s">
        <v>8</v>
      </c>
      <c r="D72">
        <v>5</v>
      </c>
      <c r="E72">
        <v>3</v>
      </c>
      <c r="F72">
        <v>1</v>
      </c>
      <c r="G72" t="s">
        <v>11</v>
      </c>
      <c r="H72" t="s">
        <v>12</v>
      </c>
    </row>
    <row r="73" spans="1:8" x14ac:dyDescent="0.25">
      <c r="A73">
        <v>2024</v>
      </c>
      <c r="B73">
        <v>20</v>
      </c>
      <c r="C73" t="s">
        <v>8</v>
      </c>
      <c r="D73">
        <v>12</v>
      </c>
      <c r="E73">
        <v>5</v>
      </c>
      <c r="F73">
        <v>1</v>
      </c>
      <c r="G73" t="s">
        <v>9</v>
      </c>
      <c r="H73" t="s">
        <v>12</v>
      </c>
    </row>
    <row r="74" spans="1:8" x14ac:dyDescent="0.25">
      <c r="A74">
        <v>2024</v>
      </c>
      <c r="B74">
        <v>21</v>
      </c>
      <c r="C74" t="s">
        <v>8</v>
      </c>
      <c r="D74">
        <v>2</v>
      </c>
      <c r="E74">
        <v>2</v>
      </c>
      <c r="F74">
        <v>1</v>
      </c>
      <c r="G74" t="s">
        <v>9</v>
      </c>
      <c r="H74" t="s">
        <v>12</v>
      </c>
    </row>
    <row r="75" spans="1:8" x14ac:dyDescent="0.25">
      <c r="A75">
        <v>2024</v>
      </c>
      <c r="B75">
        <v>22</v>
      </c>
      <c r="C75" t="s">
        <v>8</v>
      </c>
      <c r="D75">
        <v>5</v>
      </c>
      <c r="E75">
        <v>3</v>
      </c>
      <c r="F75">
        <f>2/3</f>
        <v>0.66666666666666663</v>
      </c>
      <c r="G75" t="s">
        <v>9</v>
      </c>
      <c r="H75" t="s">
        <v>12</v>
      </c>
    </row>
    <row r="76" spans="1:8" x14ac:dyDescent="0.25">
      <c r="A76">
        <v>2024</v>
      </c>
      <c r="B76">
        <v>23</v>
      </c>
      <c r="C76" t="s">
        <v>8</v>
      </c>
      <c r="D76">
        <v>2</v>
      </c>
      <c r="E76">
        <v>2</v>
      </c>
      <c r="F76">
        <v>1</v>
      </c>
      <c r="G76" t="s">
        <v>9</v>
      </c>
      <c r="H76" t="s">
        <v>12</v>
      </c>
    </row>
    <row r="77" spans="1:8" x14ac:dyDescent="0.25">
      <c r="A77">
        <v>2024</v>
      </c>
      <c r="B77">
        <v>24</v>
      </c>
      <c r="C77" t="s">
        <v>8</v>
      </c>
      <c r="D77">
        <v>14</v>
      </c>
      <c r="E77">
        <v>6</v>
      </c>
      <c r="F77">
        <v>1</v>
      </c>
      <c r="G77" t="s">
        <v>11</v>
      </c>
      <c r="H77" t="s">
        <v>12</v>
      </c>
    </row>
    <row r="78" spans="1:8" x14ac:dyDescent="0.25">
      <c r="A78">
        <v>2024</v>
      </c>
      <c r="B78">
        <v>25</v>
      </c>
      <c r="C78" t="s">
        <v>8</v>
      </c>
      <c r="D78">
        <v>19</v>
      </c>
      <c r="E78">
        <v>5</v>
      </c>
      <c r="F78">
        <v>1</v>
      </c>
      <c r="G78" t="s">
        <v>9</v>
      </c>
      <c r="H78" t="s">
        <v>12</v>
      </c>
    </row>
    <row r="79" spans="1:8" x14ac:dyDescent="0.25">
      <c r="A79">
        <v>2024</v>
      </c>
      <c r="B79">
        <v>26</v>
      </c>
      <c r="C79" t="s">
        <v>8</v>
      </c>
      <c r="D79">
        <v>13</v>
      </c>
      <c r="E79">
        <v>3</v>
      </c>
      <c r="F79">
        <f>2/3</f>
        <v>0.66666666666666663</v>
      </c>
      <c r="G79" t="s">
        <v>9</v>
      </c>
      <c r="H79" t="s">
        <v>12</v>
      </c>
    </row>
    <row r="80" spans="1:8" x14ac:dyDescent="0.25">
      <c r="A80">
        <v>2024</v>
      </c>
      <c r="B80">
        <v>27</v>
      </c>
      <c r="C80" t="s">
        <v>8</v>
      </c>
      <c r="D80">
        <v>11</v>
      </c>
      <c r="E80">
        <v>3</v>
      </c>
      <c r="F80">
        <v>1</v>
      </c>
      <c r="G80" t="s">
        <v>9</v>
      </c>
      <c r="H80" t="s">
        <v>12</v>
      </c>
    </row>
    <row r="81" spans="1:8" x14ac:dyDescent="0.25">
      <c r="A81">
        <v>2024</v>
      </c>
      <c r="B81">
        <v>28</v>
      </c>
      <c r="C81" t="s">
        <v>8</v>
      </c>
      <c r="D81">
        <v>24</v>
      </c>
      <c r="E81">
        <v>10</v>
      </c>
      <c r="F81">
        <f>7/10</f>
        <v>0.7</v>
      </c>
      <c r="G81" t="s">
        <v>9</v>
      </c>
      <c r="H81" t="s">
        <v>12</v>
      </c>
    </row>
    <row r="82" spans="1:8" x14ac:dyDescent="0.25">
      <c r="A82">
        <v>2024</v>
      </c>
      <c r="B82">
        <v>29</v>
      </c>
      <c r="C82" t="s">
        <v>8</v>
      </c>
      <c r="D82">
        <v>14</v>
      </c>
      <c r="E82">
        <v>4</v>
      </c>
      <c r="F82">
        <v>1</v>
      </c>
      <c r="G82" t="s">
        <v>9</v>
      </c>
      <c r="H82" t="s">
        <v>12</v>
      </c>
    </row>
    <row r="83" spans="1:8" x14ac:dyDescent="0.25">
      <c r="A83">
        <v>2024</v>
      </c>
      <c r="B83">
        <v>30</v>
      </c>
      <c r="C83" t="s">
        <v>8</v>
      </c>
      <c r="D83">
        <v>38</v>
      </c>
      <c r="E83">
        <v>8</v>
      </c>
      <c r="F83">
        <v>1</v>
      </c>
      <c r="G83" t="s">
        <v>11</v>
      </c>
      <c r="H83" t="s">
        <v>12</v>
      </c>
    </row>
    <row r="84" spans="1:8" x14ac:dyDescent="0.25">
      <c r="A84">
        <v>2024</v>
      </c>
      <c r="B84">
        <v>31</v>
      </c>
      <c r="C84" t="s">
        <v>8</v>
      </c>
      <c r="D84">
        <v>19</v>
      </c>
      <c r="E84">
        <v>8</v>
      </c>
      <c r="F84">
        <v>1</v>
      </c>
      <c r="G84" t="s">
        <v>9</v>
      </c>
      <c r="H84" t="s">
        <v>12</v>
      </c>
    </row>
    <row r="85" spans="1:8" x14ac:dyDescent="0.25">
      <c r="A85">
        <v>2024</v>
      </c>
      <c r="B85">
        <v>32</v>
      </c>
      <c r="C85" t="s">
        <v>8</v>
      </c>
      <c r="D85">
        <v>19</v>
      </c>
      <c r="E85">
        <v>6</v>
      </c>
      <c r="F85">
        <v>1</v>
      </c>
      <c r="G85" t="s">
        <v>9</v>
      </c>
      <c r="H85" t="s">
        <v>12</v>
      </c>
    </row>
    <row r="86" spans="1:8" x14ac:dyDescent="0.25">
      <c r="A86">
        <v>2024</v>
      </c>
      <c r="B86">
        <v>33</v>
      </c>
      <c r="C86" t="s">
        <v>8</v>
      </c>
      <c r="D86">
        <v>29</v>
      </c>
      <c r="E86">
        <v>7</v>
      </c>
      <c r="F86">
        <v>1</v>
      </c>
      <c r="G86" t="s">
        <v>9</v>
      </c>
      <c r="H86" t="s">
        <v>12</v>
      </c>
    </row>
    <row r="87" spans="1:8" x14ac:dyDescent="0.25">
      <c r="A87">
        <v>2024</v>
      </c>
      <c r="B87">
        <v>34</v>
      </c>
      <c r="C87" t="s">
        <v>8</v>
      </c>
      <c r="D87">
        <v>0</v>
      </c>
      <c r="E87">
        <v>0</v>
      </c>
      <c r="F87">
        <v>0</v>
      </c>
      <c r="G87" t="s">
        <v>9</v>
      </c>
      <c r="H87" t="s">
        <v>12</v>
      </c>
    </row>
    <row r="88" spans="1:8" x14ac:dyDescent="0.25">
      <c r="A88">
        <v>2024</v>
      </c>
      <c r="B88">
        <v>35</v>
      </c>
      <c r="C88" t="s">
        <v>8</v>
      </c>
      <c r="D88">
        <v>8</v>
      </c>
      <c r="E88">
        <v>2</v>
      </c>
      <c r="F88">
        <v>1</v>
      </c>
      <c r="G88" t="s">
        <v>9</v>
      </c>
      <c r="H88" t="s">
        <v>12</v>
      </c>
    </row>
    <row r="89" spans="1:8" x14ac:dyDescent="0.25">
      <c r="A89">
        <v>2024</v>
      </c>
      <c r="B89">
        <v>36</v>
      </c>
      <c r="C89" t="s">
        <v>8</v>
      </c>
      <c r="D89">
        <v>18</v>
      </c>
      <c r="E89">
        <v>6</v>
      </c>
      <c r="F89">
        <v>1</v>
      </c>
      <c r="G89" t="s">
        <v>9</v>
      </c>
      <c r="H89" t="s">
        <v>12</v>
      </c>
    </row>
    <row r="90" spans="1:8" x14ac:dyDescent="0.25">
      <c r="A90">
        <v>2024</v>
      </c>
      <c r="B90">
        <v>37</v>
      </c>
      <c r="C90" t="s">
        <v>8</v>
      </c>
      <c r="D90">
        <v>20</v>
      </c>
      <c r="E90">
        <v>4</v>
      </c>
      <c r="F90">
        <v>1</v>
      </c>
      <c r="G90" t="s">
        <v>9</v>
      </c>
      <c r="H90" t="s">
        <v>12</v>
      </c>
    </row>
    <row r="91" spans="1:8" x14ac:dyDescent="0.25">
      <c r="A91">
        <v>2024</v>
      </c>
      <c r="B91">
        <v>38</v>
      </c>
      <c r="C91" t="s">
        <v>8</v>
      </c>
      <c r="D91">
        <v>2</v>
      </c>
      <c r="E91">
        <v>1</v>
      </c>
      <c r="F91">
        <v>1</v>
      </c>
      <c r="G91" t="s">
        <v>9</v>
      </c>
      <c r="H91" t="s">
        <v>12</v>
      </c>
    </row>
    <row r="92" spans="1:8" x14ac:dyDescent="0.25">
      <c r="A92">
        <v>2024</v>
      </c>
      <c r="B92">
        <v>39</v>
      </c>
      <c r="C92" t="s">
        <v>8</v>
      </c>
      <c r="D92">
        <v>23</v>
      </c>
      <c r="E92">
        <v>8</v>
      </c>
      <c r="F92">
        <v>1</v>
      </c>
      <c r="G92" t="s">
        <v>9</v>
      </c>
      <c r="H92" t="s">
        <v>12</v>
      </c>
    </row>
    <row r="93" spans="1:8" x14ac:dyDescent="0.25">
      <c r="A93">
        <v>2024</v>
      </c>
      <c r="B93">
        <v>40</v>
      </c>
      <c r="C93" t="s">
        <v>8</v>
      </c>
      <c r="D93">
        <v>10</v>
      </c>
      <c r="E93">
        <v>3</v>
      </c>
      <c r="F93">
        <v>1</v>
      </c>
      <c r="G93" t="s">
        <v>9</v>
      </c>
      <c r="H93" t="s">
        <v>12</v>
      </c>
    </row>
    <row r="94" spans="1:8" x14ac:dyDescent="0.25">
      <c r="A94">
        <v>2024</v>
      </c>
      <c r="B94">
        <v>41</v>
      </c>
      <c r="C94" t="s">
        <v>8</v>
      </c>
      <c r="D94">
        <v>15</v>
      </c>
      <c r="E94">
        <v>5</v>
      </c>
      <c r="F94">
        <v>1</v>
      </c>
      <c r="G94" t="s">
        <v>9</v>
      </c>
      <c r="H94" t="s">
        <v>12</v>
      </c>
    </row>
    <row r="95" spans="1:8" x14ac:dyDescent="0.25">
      <c r="A95">
        <v>2024</v>
      </c>
      <c r="B95">
        <v>42</v>
      </c>
      <c r="C95" t="s">
        <v>8</v>
      </c>
      <c r="D95">
        <v>26</v>
      </c>
      <c r="E95">
        <v>3</v>
      </c>
      <c r="F95">
        <v>1</v>
      </c>
      <c r="G95" t="s">
        <v>9</v>
      </c>
      <c r="H95" t="s">
        <v>12</v>
      </c>
    </row>
    <row r="96" spans="1:8" x14ac:dyDescent="0.25">
      <c r="A96">
        <v>2024</v>
      </c>
      <c r="B96">
        <v>43</v>
      </c>
      <c r="C96" t="s">
        <v>8</v>
      </c>
      <c r="D96">
        <v>7</v>
      </c>
      <c r="E96">
        <v>4</v>
      </c>
      <c r="F96">
        <v>1</v>
      </c>
      <c r="G96" t="s">
        <v>9</v>
      </c>
      <c r="H96" t="s">
        <v>12</v>
      </c>
    </row>
    <row r="97" spans="1:8" x14ac:dyDescent="0.25">
      <c r="A97">
        <v>2024</v>
      </c>
      <c r="B97">
        <v>44</v>
      </c>
      <c r="C97" t="s">
        <v>8</v>
      </c>
      <c r="D97">
        <v>30</v>
      </c>
      <c r="E97">
        <v>4</v>
      </c>
      <c r="F97">
        <v>1</v>
      </c>
      <c r="G97" t="s">
        <v>9</v>
      </c>
      <c r="H97" t="s">
        <v>10</v>
      </c>
    </row>
    <row r="98" spans="1:8" x14ac:dyDescent="0.25">
      <c r="A98">
        <v>2024</v>
      </c>
      <c r="B98">
        <v>45</v>
      </c>
      <c r="C98" t="s">
        <v>8</v>
      </c>
      <c r="D98">
        <v>3</v>
      </c>
      <c r="E98">
        <v>2</v>
      </c>
      <c r="F98">
        <v>1</v>
      </c>
      <c r="G98" t="s">
        <v>9</v>
      </c>
      <c r="H98" t="s">
        <v>10</v>
      </c>
    </row>
    <row r="99" spans="1:8" x14ac:dyDescent="0.25">
      <c r="A99">
        <v>2024</v>
      </c>
      <c r="B99">
        <v>46</v>
      </c>
      <c r="C99" t="s">
        <v>8</v>
      </c>
      <c r="D99">
        <v>30</v>
      </c>
      <c r="E99">
        <v>7</v>
      </c>
      <c r="F99">
        <v>1</v>
      </c>
      <c r="G99" t="s">
        <v>9</v>
      </c>
      <c r="H99" t="s">
        <v>10</v>
      </c>
    </row>
    <row r="100" spans="1:8" x14ac:dyDescent="0.25">
      <c r="A100">
        <v>2024</v>
      </c>
      <c r="B100">
        <v>47</v>
      </c>
      <c r="C100" t="s">
        <v>8</v>
      </c>
      <c r="D100">
        <v>1</v>
      </c>
      <c r="E100">
        <v>1</v>
      </c>
      <c r="F100">
        <v>0</v>
      </c>
      <c r="G100" t="s">
        <v>9</v>
      </c>
      <c r="H100" t="s">
        <v>10</v>
      </c>
    </row>
    <row r="101" spans="1:8" x14ac:dyDescent="0.25">
      <c r="A101">
        <v>2024</v>
      </c>
      <c r="B101">
        <v>48</v>
      </c>
      <c r="C101" t="s">
        <v>8</v>
      </c>
      <c r="D101">
        <v>4</v>
      </c>
      <c r="E101">
        <v>2</v>
      </c>
      <c r="F101">
        <v>1</v>
      </c>
      <c r="G101" t="s">
        <v>9</v>
      </c>
      <c r="H101" t="s">
        <v>10</v>
      </c>
    </row>
    <row r="102" spans="1:8" x14ac:dyDescent="0.25">
      <c r="A102">
        <v>2024</v>
      </c>
      <c r="B102">
        <v>49</v>
      </c>
      <c r="C102" t="s">
        <v>8</v>
      </c>
      <c r="D102">
        <v>1</v>
      </c>
      <c r="E102">
        <v>1</v>
      </c>
      <c r="F102">
        <v>0</v>
      </c>
      <c r="G102" t="s">
        <v>9</v>
      </c>
      <c r="H102" t="s">
        <v>10</v>
      </c>
    </row>
    <row r="103" spans="1:8" x14ac:dyDescent="0.25">
      <c r="A103">
        <v>2024</v>
      </c>
      <c r="B103">
        <v>50</v>
      </c>
      <c r="C103" t="s">
        <v>8</v>
      </c>
      <c r="D103">
        <v>13</v>
      </c>
      <c r="E103">
        <v>2</v>
      </c>
      <c r="F103">
        <v>1</v>
      </c>
      <c r="G103" t="s">
        <v>9</v>
      </c>
      <c r="H103" t="s">
        <v>10</v>
      </c>
    </row>
    <row r="104" spans="1:8" x14ac:dyDescent="0.25">
      <c r="A104">
        <v>2024</v>
      </c>
      <c r="B104">
        <v>51</v>
      </c>
      <c r="C104" t="s">
        <v>8</v>
      </c>
      <c r="D104">
        <v>1</v>
      </c>
      <c r="E104">
        <v>1</v>
      </c>
      <c r="F104">
        <v>0</v>
      </c>
      <c r="G104" t="s">
        <v>11</v>
      </c>
      <c r="H104" t="s">
        <v>10</v>
      </c>
    </row>
    <row r="105" spans="1:8" x14ac:dyDescent="0.25">
      <c r="A105">
        <v>2024</v>
      </c>
      <c r="B105">
        <v>52</v>
      </c>
      <c r="C105" t="s">
        <v>8</v>
      </c>
      <c r="D105">
        <v>11</v>
      </c>
      <c r="E105">
        <v>3</v>
      </c>
      <c r="F105">
        <v>1</v>
      </c>
      <c r="G105" t="s">
        <v>11</v>
      </c>
      <c r="H105" t="s">
        <v>10</v>
      </c>
    </row>
    <row r="106" spans="1:8" x14ac:dyDescent="0.25">
      <c r="A106">
        <v>2024</v>
      </c>
      <c r="B106">
        <v>53</v>
      </c>
      <c r="C106" t="s">
        <v>8</v>
      </c>
      <c r="D106">
        <v>19</v>
      </c>
      <c r="E106">
        <v>4</v>
      </c>
      <c r="F106">
        <v>0.5</v>
      </c>
      <c r="G106" t="s">
        <v>11</v>
      </c>
      <c r="H106" t="s">
        <v>10</v>
      </c>
    </row>
    <row r="107" spans="1:8" x14ac:dyDescent="0.25">
      <c r="A107">
        <v>2025</v>
      </c>
      <c r="B107">
        <v>1</v>
      </c>
      <c r="C107" t="s">
        <v>8</v>
      </c>
      <c r="D107">
        <v>0</v>
      </c>
      <c r="E107">
        <v>0</v>
      </c>
      <c r="F107">
        <v>0</v>
      </c>
      <c r="G107" t="s">
        <v>9</v>
      </c>
      <c r="H107" t="s">
        <v>10</v>
      </c>
    </row>
    <row r="108" spans="1:8" x14ac:dyDescent="0.25">
      <c r="A108">
        <v>2025</v>
      </c>
      <c r="B108">
        <v>2</v>
      </c>
      <c r="C108" t="s">
        <v>8</v>
      </c>
      <c r="D108">
        <v>2</v>
      </c>
      <c r="E108">
        <v>1</v>
      </c>
      <c r="F108">
        <v>1</v>
      </c>
      <c r="G108" t="s">
        <v>9</v>
      </c>
      <c r="H108" t="s">
        <v>10</v>
      </c>
    </row>
    <row r="109" spans="1:8" x14ac:dyDescent="0.25">
      <c r="A109">
        <v>2025</v>
      </c>
      <c r="B109">
        <v>3</v>
      </c>
      <c r="C109" t="s">
        <v>8</v>
      </c>
      <c r="D109">
        <v>0</v>
      </c>
      <c r="E109">
        <v>0</v>
      </c>
      <c r="F109">
        <v>0</v>
      </c>
      <c r="G109" t="s">
        <v>9</v>
      </c>
      <c r="H109" t="s">
        <v>10</v>
      </c>
    </row>
    <row r="110" spans="1:8" x14ac:dyDescent="0.25">
      <c r="A110">
        <v>2025</v>
      </c>
      <c r="B110">
        <v>4</v>
      </c>
      <c r="C110" t="s">
        <v>8</v>
      </c>
      <c r="D110">
        <v>2</v>
      </c>
      <c r="E110">
        <v>1</v>
      </c>
      <c r="F110">
        <v>1</v>
      </c>
      <c r="G110" t="s">
        <v>9</v>
      </c>
      <c r="H110" t="s">
        <v>10</v>
      </c>
    </row>
    <row r="111" spans="1:8" x14ac:dyDescent="0.25">
      <c r="A111">
        <v>2025</v>
      </c>
      <c r="B111">
        <v>5</v>
      </c>
      <c r="C111" t="s">
        <v>8</v>
      </c>
      <c r="D111">
        <v>2</v>
      </c>
      <c r="E111">
        <v>1</v>
      </c>
      <c r="F111">
        <v>1</v>
      </c>
      <c r="G111" t="s">
        <v>9</v>
      </c>
      <c r="H111" t="s">
        <v>10</v>
      </c>
    </row>
    <row r="112" spans="1:8" x14ac:dyDescent="0.25">
      <c r="A112">
        <v>2025</v>
      </c>
      <c r="B112">
        <v>6</v>
      </c>
      <c r="C112" t="s">
        <v>8</v>
      </c>
      <c r="D112">
        <v>14</v>
      </c>
      <c r="E112">
        <v>2</v>
      </c>
      <c r="F112">
        <v>1</v>
      </c>
      <c r="G112" t="s">
        <v>9</v>
      </c>
      <c r="H112" t="s">
        <v>10</v>
      </c>
    </row>
    <row r="113" spans="1:8" x14ac:dyDescent="0.25">
      <c r="A113">
        <v>2025</v>
      </c>
      <c r="B113">
        <v>7</v>
      </c>
      <c r="C113" t="s">
        <v>8</v>
      </c>
      <c r="D113">
        <v>6</v>
      </c>
      <c r="E113">
        <v>1</v>
      </c>
      <c r="F113">
        <v>1</v>
      </c>
      <c r="G113" t="s">
        <v>9</v>
      </c>
      <c r="H113" t="s">
        <v>10</v>
      </c>
    </row>
    <row r="114" spans="1:8" x14ac:dyDescent="0.25">
      <c r="A114">
        <v>2025</v>
      </c>
      <c r="B114">
        <v>8</v>
      </c>
      <c r="C114" t="s">
        <v>8</v>
      </c>
      <c r="D114">
        <v>4</v>
      </c>
      <c r="E114">
        <v>1</v>
      </c>
      <c r="F114">
        <v>1</v>
      </c>
      <c r="G114" t="s">
        <v>11</v>
      </c>
      <c r="H114" t="s">
        <v>10</v>
      </c>
    </row>
    <row r="115" spans="1:8" x14ac:dyDescent="0.25">
      <c r="A115">
        <v>2025</v>
      </c>
      <c r="B115">
        <v>9</v>
      </c>
      <c r="C115" t="s">
        <v>8</v>
      </c>
      <c r="D115">
        <v>13</v>
      </c>
      <c r="E115">
        <v>6</v>
      </c>
      <c r="F115">
        <v>1</v>
      </c>
      <c r="G115" t="s">
        <v>11</v>
      </c>
      <c r="H115" t="s">
        <v>10</v>
      </c>
    </row>
    <row r="116" spans="1:8" x14ac:dyDescent="0.25">
      <c r="A116">
        <v>2025</v>
      </c>
      <c r="B116">
        <v>10</v>
      </c>
      <c r="C116" t="s">
        <v>8</v>
      </c>
      <c r="D116">
        <v>12</v>
      </c>
      <c r="E116">
        <v>3</v>
      </c>
      <c r="F116">
        <v>1</v>
      </c>
      <c r="G116" t="s">
        <v>9</v>
      </c>
      <c r="H116" t="s">
        <v>10</v>
      </c>
    </row>
    <row r="117" spans="1:8" x14ac:dyDescent="0.25">
      <c r="A117">
        <v>2025</v>
      </c>
      <c r="B117">
        <v>11</v>
      </c>
      <c r="C117" t="s">
        <v>8</v>
      </c>
      <c r="D117">
        <v>2</v>
      </c>
      <c r="E117">
        <v>1</v>
      </c>
      <c r="F117">
        <v>1</v>
      </c>
      <c r="G117" t="s">
        <v>9</v>
      </c>
      <c r="H117" t="s">
        <v>10</v>
      </c>
    </row>
    <row r="118" spans="1:8" x14ac:dyDescent="0.25">
      <c r="A118">
        <v>2025</v>
      </c>
      <c r="B118">
        <v>12</v>
      </c>
      <c r="C118" t="s">
        <v>8</v>
      </c>
      <c r="D118">
        <v>12</v>
      </c>
      <c r="E118">
        <v>1</v>
      </c>
      <c r="F118">
        <v>1</v>
      </c>
      <c r="G118" t="s">
        <v>9</v>
      </c>
      <c r="H118" t="s">
        <v>10</v>
      </c>
    </row>
    <row r="119" spans="1:8" x14ac:dyDescent="0.25">
      <c r="A119">
        <v>2025</v>
      </c>
      <c r="B119">
        <v>13</v>
      </c>
      <c r="C119" t="s">
        <v>8</v>
      </c>
      <c r="D119">
        <v>0</v>
      </c>
      <c r="E119">
        <v>0</v>
      </c>
      <c r="F119">
        <v>0</v>
      </c>
      <c r="G119" t="s">
        <v>9</v>
      </c>
      <c r="H119" t="s">
        <v>12</v>
      </c>
    </row>
    <row r="120" spans="1:8" x14ac:dyDescent="0.25">
      <c r="A120">
        <v>2025</v>
      </c>
      <c r="B120">
        <v>14</v>
      </c>
      <c r="C120" t="s">
        <v>8</v>
      </c>
      <c r="D120">
        <v>23</v>
      </c>
      <c r="E120">
        <v>4</v>
      </c>
      <c r="F120">
        <v>1</v>
      </c>
      <c r="G120" t="s">
        <v>9</v>
      </c>
      <c r="H120" t="s">
        <v>12</v>
      </c>
    </row>
    <row r="121" spans="1:8" x14ac:dyDescent="0.25">
      <c r="A121">
        <v>2025</v>
      </c>
      <c r="B121">
        <v>15</v>
      </c>
      <c r="C121" t="s">
        <v>8</v>
      </c>
      <c r="D121">
        <v>23</v>
      </c>
      <c r="E121">
        <v>5</v>
      </c>
      <c r="F121">
        <f>4/5</f>
        <v>0.8</v>
      </c>
      <c r="G121" t="s">
        <v>9</v>
      </c>
      <c r="H121" t="s">
        <v>12</v>
      </c>
    </row>
    <row r="122" spans="1:8" x14ac:dyDescent="0.25">
      <c r="A122">
        <v>2025</v>
      </c>
      <c r="B122">
        <v>16</v>
      </c>
      <c r="C122" t="s">
        <v>8</v>
      </c>
      <c r="D122">
        <v>21</v>
      </c>
      <c r="E122">
        <v>3</v>
      </c>
      <c r="F122">
        <v>1</v>
      </c>
      <c r="G122" t="s">
        <v>11</v>
      </c>
      <c r="H122" t="s">
        <v>12</v>
      </c>
    </row>
    <row r="123" spans="1:8" x14ac:dyDescent="0.25">
      <c r="A123">
        <v>2025</v>
      </c>
      <c r="B123">
        <v>17</v>
      </c>
      <c r="C123" t="s">
        <v>8</v>
      </c>
      <c r="D123">
        <v>5</v>
      </c>
      <c r="E123">
        <v>3</v>
      </c>
      <c r="F123">
        <v>1</v>
      </c>
      <c r="G123" t="s">
        <v>11</v>
      </c>
      <c r="H123" t="s">
        <v>12</v>
      </c>
    </row>
    <row r="124" spans="1:8" x14ac:dyDescent="0.25">
      <c r="A124">
        <v>2025</v>
      </c>
      <c r="B124">
        <v>18</v>
      </c>
      <c r="C124" t="s">
        <v>8</v>
      </c>
      <c r="D124">
        <v>0</v>
      </c>
      <c r="E124">
        <v>0</v>
      </c>
      <c r="F124">
        <v>0</v>
      </c>
      <c r="G124" t="s">
        <v>9</v>
      </c>
      <c r="H124" t="s">
        <v>12</v>
      </c>
    </row>
    <row r="125" spans="1:8" x14ac:dyDescent="0.25">
      <c r="A125">
        <v>2025</v>
      </c>
      <c r="B125">
        <v>19</v>
      </c>
      <c r="C125" t="s">
        <v>8</v>
      </c>
      <c r="D125">
        <v>7</v>
      </c>
      <c r="E125">
        <v>2</v>
      </c>
      <c r="F125">
        <v>1</v>
      </c>
      <c r="G125" t="s">
        <v>11</v>
      </c>
      <c r="H125" t="s">
        <v>12</v>
      </c>
    </row>
    <row r="126" spans="1:8" x14ac:dyDescent="0.25">
      <c r="A126">
        <v>2025</v>
      </c>
      <c r="B126">
        <v>20</v>
      </c>
      <c r="C126" t="s">
        <v>8</v>
      </c>
      <c r="D126">
        <v>16</v>
      </c>
      <c r="E126">
        <v>2</v>
      </c>
      <c r="F126">
        <v>1</v>
      </c>
      <c r="G126" t="s">
        <v>9</v>
      </c>
      <c r="H126" t="s">
        <v>12</v>
      </c>
    </row>
    <row r="127" spans="1:8" x14ac:dyDescent="0.25">
      <c r="A127">
        <v>2025</v>
      </c>
      <c r="B127">
        <v>21</v>
      </c>
      <c r="C127" t="s">
        <v>8</v>
      </c>
      <c r="D127">
        <v>24</v>
      </c>
      <c r="E127">
        <v>3</v>
      </c>
      <c r="F127">
        <v>1</v>
      </c>
      <c r="G127" t="s">
        <v>9</v>
      </c>
      <c r="H127" t="s">
        <v>12</v>
      </c>
    </row>
    <row r="128" spans="1:8" x14ac:dyDescent="0.25">
      <c r="A128">
        <v>2025</v>
      </c>
      <c r="B128">
        <v>22</v>
      </c>
      <c r="C128" t="s">
        <v>8</v>
      </c>
      <c r="D128">
        <v>6</v>
      </c>
      <c r="E128">
        <v>1</v>
      </c>
      <c r="F128">
        <v>1</v>
      </c>
      <c r="G128" t="s">
        <v>9</v>
      </c>
      <c r="H128" t="s">
        <v>12</v>
      </c>
    </row>
    <row r="129" spans="1:8" x14ac:dyDescent="0.25">
      <c r="A129">
        <v>2025</v>
      </c>
      <c r="B129">
        <v>23</v>
      </c>
      <c r="C129" t="s">
        <v>8</v>
      </c>
      <c r="D129">
        <v>8</v>
      </c>
      <c r="E129">
        <v>3</v>
      </c>
      <c r="F129">
        <v>1</v>
      </c>
      <c r="G129" t="s">
        <v>9</v>
      </c>
      <c r="H129" t="s">
        <v>12</v>
      </c>
    </row>
    <row r="130" spans="1:8" x14ac:dyDescent="0.25">
      <c r="A130">
        <v>2025</v>
      </c>
      <c r="B130">
        <v>24</v>
      </c>
      <c r="C130" t="s">
        <v>8</v>
      </c>
      <c r="D130">
        <v>12</v>
      </c>
      <c r="E130">
        <v>1</v>
      </c>
      <c r="F130">
        <v>1</v>
      </c>
      <c r="G130" t="s">
        <v>11</v>
      </c>
      <c r="H130" t="s">
        <v>12</v>
      </c>
    </row>
    <row r="131" spans="1:8" x14ac:dyDescent="0.25">
      <c r="A131">
        <v>2025</v>
      </c>
      <c r="B131">
        <v>25</v>
      </c>
      <c r="C131" t="s">
        <v>8</v>
      </c>
      <c r="D131">
        <v>4</v>
      </c>
      <c r="E131">
        <v>2</v>
      </c>
      <c r="F131">
        <v>1</v>
      </c>
      <c r="G131" t="s">
        <v>9</v>
      </c>
      <c r="H131" t="s">
        <v>12</v>
      </c>
    </row>
    <row r="132" spans="1:8" x14ac:dyDescent="0.25">
      <c r="A132">
        <v>2025</v>
      </c>
      <c r="B132">
        <v>26</v>
      </c>
      <c r="C132" t="s">
        <v>8</v>
      </c>
      <c r="D132">
        <v>7</v>
      </c>
      <c r="E132">
        <v>3</v>
      </c>
      <c r="F132">
        <f>2/3</f>
        <v>0.66666666666666663</v>
      </c>
      <c r="G132" t="s">
        <v>9</v>
      </c>
      <c r="H132" t="s">
        <v>12</v>
      </c>
    </row>
    <row r="133" spans="1:8" x14ac:dyDescent="0.25">
      <c r="A133">
        <v>2025</v>
      </c>
      <c r="B133">
        <v>27</v>
      </c>
      <c r="C133" t="s">
        <v>8</v>
      </c>
      <c r="D133">
        <v>21</v>
      </c>
      <c r="E133">
        <v>5</v>
      </c>
      <c r="F133">
        <v>1</v>
      </c>
      <c r="G133" t="s">
        <v>9</v>
      </c>
      <c r="H133" t="s">
        <v>12</v>
      </c>
    </row>
    <row r="134" spans="1:8" x14ac:dyDescent="0.25">
      <c r="A134">
        <v>2025</v>
      </c>
      <c r="B134">
        <v>28</v>
      </c>
      <c r="C134" t="s">
        <v>8</v>
      </c>
      <c r="D134">
        <v>5</v>
      </c>
      <c r="E134">
        <v>2</v>
      </c>
      <c r="F134">
        <v>1</v>
      </c>
      <c r="G134" t="s">
        <v>9</v>
      </c>
      <c r="H134" t="s">
        <v>12</v>
      </c>
    </row>
    <row r="135" spans="1:8" x14ac:dyDescent="0.25">
      <c r="A135">
        <v>2025</v>
      </c>
      <c r="B135">
        <v>29</v>
      </c>
      <c r="C135" t="s">
        <v>8</v>
      </c>
      <c r="D135">
        <v>4</v>
      </c>
      <c r="E135">
        <v>1</v>
      </c>
      <c r="F135">
        <v>1</v>
      </c>
      <c r="G135" t="s">
        <v>9</v>
      </c>
      <c r="H135" t="s">
        <v>12</v>
      </c>
    </row>
    <row r="136" spans="1:8" x14ac:dyDescent="0.25">
      <c r="A136">
        <v>2025</v>
      </c>
      <c r="B136">
        <v>30</v>
      </c>
      <c r="C136" t="s">
        <v>8</v>
      </c>
      <c r="D136">
        <v>26</v>
      </c>
      <c r="E136">
        <v>5</v>
      </c>
      <c r="F136">
        <v>1</v>
      </c>
      <c r="G136" t="s">
        <v>11</v>
      </c>
      <c r="H136" t="s">
        <v>12</v>
      </c>
    </row>
    <row r="137" spans="1:8" x14ac:dyDescent="0.25">
      <c r="A137">
        <v>2025</v>
      </c>
      <c r="B137">
        <v>31</v>
      </c>
      <c r="C137" t="s">
        <v>8</v>
      </c>
      <c r="D137">
        <v>2</v>
      </c>
      <c r="E137">
        <v>1</v>
      </c>
      <c r="F137">
        <v>1</v>
      </c>
      <c r="G137" t="s">
        <v>11</v>
      </c>
      <c r="H137" t="s">
        <v>12</v>
      </c>
    </row>
    <row r="138" spans="1:8" x14ac:dyDescent="0.25">
      <c r="A138">
        <v>2025</v>
      </c>
      <c r="B138">
        <v>32</v>
      </c>
      <c r="C138" t="s">
        <v>8</v>
      </c>
      <c r="D138">
        <v>14</v>
      </c>
      <c r="E138">
        <v>5</v>
      </c>
      <c r="F138">
        <f>4/5</f>
        <v>0.8</v>
      </c>
      <c r="G138" t="s">
        <v>9</v>
      </c>
      <c r="H138" t="s">
        <v>12</v>
      </c>
    </row>
    <row r="139" spans="1:8" x14ac:dyDescent="0.25">
      <c r="A139">
        <v>2025</v>
      </c>
      <c r="B139">
        <v>33</v>
      </c>
      <c r="C139" t="s">
        <v>8</v>
      </c>
      <c r="D139">
        <v>40</v>
      </c>
      <c r="E139">
        <v>8</v>
      </c>
      <c r="F139">
        <v>1</v>
      </c>
      <c r="G139" t="s">
        <v>9</v>
      </c>
      <c r="H139" t="s">
        <v>12</v>
      </c>
    </row>
    <row r="140" spans="1:8" x14ac:dyDescent="0.25">
      <c r="A140">
        <v>2025</v>
      </c>
      <c r="B140">
        <v>34</v>
      </c>
      <c r="C140" t="s">
        <v>8</v>
      </c>
      <c r="D140">
        <v>27</v>
      </c>
      <c r="E140">
        <v>3</v>
      </c>
      <c r="F140">
        <v>1</v>
      </c>
      <c r="G140" t="s">
        <v>9</v>
      </c>
      <c r="H140" t="s">
        <v>12</v>
      </c>
    </row>
    <row r="141" spans="1:8" x14ac:dyDescent="0.25">
      <c r="A141">
        <v>2025</v>
      </c>
      <c r="B141">
        <v>35</v>
      </c>
      <c r="C141" t="s">
        <v>8</v>
      </c>
      <c r="D141">
        <v>8</v>
      </c>
      <c r="E141">
        <v>2</v>
      </c>
      <c r="F141">
        <v>1</v>
      </c>
      <c r="G141" t="s">
        <v>9</v>
      </c>
      <c r="H141" t="s">
        <v>12</v>
      </c>
    </row>
    <row r="142" spans="1:8" x14ac:dyDescent="0.25">
      <c r="A142">
        <v>2025</v>
      </c>
      <c r="B142">
        <v>36</v>
      </c>
      <c r="C142" t="s">
        <v>8</v>
      </c>
      <c r="D142">
        <v>22</v>
      </c>
      <c r="E142">
        <v>4</v>
      </c>
      <c r="F142">
        <f>3/4</f>
        <v>0.75</v>
      </c>
      <c r="G142" t="s">
        <v>9</v>
      </c>
      <c r="H142" t="s">
        <v>12</v>
      </c>
    </row>
    <row r="143" spans="1:8" x14ac:dyDescent="0.25">
      <c r="A143">
        <v>2025</v>
      </c>
      <c r="B143">
        <v>37</v>
      </c>
      <c r="C143" t="s">
        <v>8</v>
      </c>
      <c r="D143">
        <v>19</v>
      </c>
      <c r="E143">
        <v>4</v>
      </c>
      <c r="F143">
        <v>0.75</v>
      </c>
      <c r="G143" t="s">
        <v>9</v>
      </c>
      <c r="H143" t="s">
        <v>12</v>
      </c>
    </row>
    <row r="144" spans="1:8" x14ac:dyDescent="0.25">
      <c r="A144">
        <v>2025</v>
      </c>
      <c r="B144">
        <v>38</v>
      </c>
      <c r="C144" t="s">
        <v>8</v>
      </c>
      <c r="D144">
        <v>0</v>
      </c>
      <c r="E144">
        <v>0</v>
      </c>
      <c r="F144">
        <v>0</v>
      </c>
      <c r="G144" t="s">
        <v>9</v>
      </c>
      <c r="H144" t="s">
        <v>12</v>
      </c>
    </row>
    <row r="145" spans="1:8" x14ac:dyDescent="0.25">
      <c r="A145">
        <v>2025</v>
      </c>
      <c r="B145">
        <v>39</v>
      </c>
      <c r="C145" t="s">
        <v>8</v>
      </c>
      <c r="D145">
        <v>0</v>
      </c>
      <c r="E145">
        <v>0</v>
      </c>
      <c r="F145">
        <v>0</v>
      </c>
      <c r="G145" t="s">
        <v>9</v>
      </c>
      <c r="H145" t="s">
        <v>12</v>
      </c>
    </row>
    <row r="146" spans="1:8" x14ac:dyDescent="0.25">
      <c r="A146">
        <v>2025</v>
      </c>
      <c r="B146">
        <v>40</v>
      </c>
      <c r="C146" t="s">
        <v>8</v>
      </c>
      <c r="D146">
        <v>4</v>
      </c>
      <c r="E146">
        <v>1</v>
      </c>
      <c r="F146">
        <v>1</v>
      </c>
      <c r="G146" t="s">
        <v>9</v>
      </c>
      <c r="H146" t="s">
        <v>12</v>
      </c>
    </row>
    <row r="147" spans="1:8" x14ac:dyDescent="0.25">
      <c r="A147">
        <v>2025</v>
      </c>
      <c r="B147">
        <v>41</v>
      </c>
      <c r="C147" t="s">
        <v>8</v>
      </c>
      <c r="D147">
        <v>1</v>
      </c>
      <c r="E147">
        <v>1</v>
      </c>
      <c r="F147">
        <v>1</v>
      </c>
      <c r="G147" t="s">
        <v>9</v>
      </c>
      <c r="H147" t="s">
        <v>12</v>
      </c>
    </row>
    <row r="148" spans="1:8" x14ac:dyDescent="0.25">
      <c r="A148">
        <v>2025</v>
      </c>
      <c r="B148">
        <v>42</v>
      </c>
      <c r="C148" t="s">
        <v>8</v>
      </c>
      <c r="D148">
        <v>2</v>
      </c>
      <c r="E148">
        <v>1</v>
      </c>
      <c r="F148">
        <v>0</v>
      </c>
      <c r="G148" t="s">
        <v>9</v>
      </c>
      <c r="H148" t="s">
        <v>10</v>
      </c>
    </row>
    <row r="149" spans="1:8" x14ac:dyDescent="0.25">
      <c r="A149">
        <v>2025</v>
      </c>
      <c r="B149">
        <v>43</v>
      </c>
      <c r="C149" t="s">
        <v>8</v>
      </c>
      <c r="D149">
        <v>0</v>
      </c>
      <c r="E149">
        <v>0</v>
      </c>
      <c r="F149">
        <v>0</v>
      </c>
      <c r="G149" t="s">
        <v>9</v>
      </c>
      <c r="H149" t="s">
        <v>10</v>
      </c>
    </row>
    <row r="150" spans="1:8" x14ac:dyDescent="0.25">
      <c r="A150">
        <v>2025</v>
      </c>
      <c r="B150">
        <v>44</v>
      </c>
      <c r="C150" t="s">
        <v>8</v>
      </c>
      <c r="D150">
        <v>12</v>
      </c>
      <c r="E150">
        <v>1</v>
      </c>
      <c r="F150">
        <v>1</v>
      </c>
      <c r="G150" t="s">
        <v>9</v>
      </c>
      <c r="H150" t="s">
        <v>10</v>
      </c>
    </row>
    <row r="151" spans="1:8" x14ac:dyDescent="0.25">
      <c r="A151">
        <v>2025</v>
      </c>
      <c r="B151">
        <v>45</v>
      </c>
      <c r="C151" t="s">
        <v>8</v>
      </c>
      <c r="D151">
        <v>0</v>
      </c>
      <c r="E151">
        <v>0</v>
      </c>
      <c r="F151">
        <v>0</v>
      </c>
      <c r="G151" t="s">
        <v>9</v>
      </c>
      <c r="H151" t="s">
        <v>10</v>
      </c>
    </row>
    <row r="152" spans="1:8" x14ac:dyDescent="0.25">
      <c r="A152">
        <v>2025</v>
      </c>
      <c r="B152">
        <v>46</v>
      </c>
      <c r="C152" t="s">
        <v>8</v>
      </c>
      <c r="D152">
        <v>13</v>
      </c>
      <c r="E152">
        <v>2</v>
      </c>
      <c r="F152">
        <v>0.5</v>
      </c>
      <c r="G152" t="s">
        <v>9</v>
      </c>
      <c r="H152" t="s">
        <v>10</v>
      </c>
    </row>
    <row r="153" spans="1:8" x14ac:dyDescent="0.25">
      <c r="A153">
        <v>2025</v>
      </c>
      <c r="B153">
        <v>47</v>
      </c>
      <c r="C153" t="s">
        <v>8</v>
      </c>
      <c r="D153">
        <v>0</v>
      </c>
      <c r="E153">
        <v>0</v>
      </c>
      <c r="F153">
        <v>0</v>
      </c>
      <c r="G153" t="s">
        <v>9</v>
      </c>
      <c r="H153" t="s">
        <v>10</v>
      </c>
    </row>
    <row r="154" spans="1:8" x14ac:dyDescent="0.25">
      <c r="A154">
        <v>2025</v>
      </c>
      <c r="B154">
        <v>48</v>
      </c>
      <c r="C154" t="s">
        <v>8</v>
      </c>
      <c r="D154">
        <v>1</v>
      </c>
      <c r="E154">
        <v>1</v>
      </c>
      <c r="F154">
        <v>1</v>
      </c>
      <c r="G154" t="s">
        <v>9</v>
      </c>
      <c r="H154" t="s">
        <v>10</v>
      </c>
    </row>
    <row r="155" spans="1:8" x14ac:dyDescent="0.25">
      <c r="A155">
        <v>2025</v>
      </c>
      <c r="B155">
        <v>49</v>
      </c>
      <c r="C155" t="s">
        <v>8</v>
      </c>
      <c r="D155">
        <v>0</v>
      </c>
      <c r="E155">
        <v>0</v>
      </c>
      <c r="F155">
        <v>0</v>
      </c>
      <c r="G155" t="s">
        <v>9</v>
      </c>
      <c r="H155" t="s">
        <v>10</v>
      </c>
    </row>
    <row r="156" spans="1:8" x14ac:dyDescent="0.25">
      <c r="A156">
        <v>2025</v>
      </c>
      <c r="B156">
        <v>50</v>
      </c>
      <c r="C156" t="s">
        <v>8</v>
      </c>
      <c r="D156">
        <v>16</v>
      </c>
      <c r="E156">
        <v>2</v>
      </c>
      <c r="F156">
        <v>1</v>
      </c>
      <c r="G156" t="s">
        <v>11</v>
      </c>
      <c r="H156" t="s">
        <v>10</v>
      </c>
    </row>
    <row r="157" spans="1:8" x14ac:dyDescent="0.25">
      <c r="A157">
        <v>2025</v>
      </c>
      <c r="B157">
        <v>51</v>
      </c>
      <c r="C157" t="s">
        <v>8</v>
      </c>
      <c r="D157">
        <v>1</v>
      </c>
      <c r="E157">
        <v>1</v>
      </c>
      <c r="F157">
        <v>0</v>
      </c>
      <c r="G157" t="s">
        <v>11</v>
      </c>
      <c r="H157" t="s">
        <v>10</v>
      </c>
    </row>
    <row r="158" spans="1:8" x14ac:dyDescent="0.25">
      <c r="A158">
        <v>2025</v>
      </c>
      <c r="B158">
        <v>52</v>
      </c>
      <c r="C158" t="s">
        <v>8</v>
      </c>
      <c r="D158">
        <v>38</v>
      </c>
      <c r="E158">
        <v>4</v>
      </c>
      <c r="F158">
        <v>1</v>
      </c>
      <c r="G158" t="s">
        <v>11</v>
      </c>
      <c r="H158" t="s">
        <v>10</v>
      </c>
    </row>
    <row r="159" spans="1:8" x14ac:dyDescent="0.25">
      <c r="A159">
        <v>2025</v>
      </c>
      <c r="B159">
        <v>53</v>
      </c>
      <c r="C159" t="s">
        <v>8</v>
      </c>
      <c r="D159">
        <v>36</v>
      </c>
      <c r="E159">
        <v>1</v>
      </c>
      <c r="F159">
        <v>1</v>
      </c>
      <c r="G159" t="s">
        <v>11</v>
      </c>
      <c r="H159" t="s">
        <v>10</v>
      </c>
    </row>
  </sheetData>
  <pageMargins left="0.7" right="0.7" top="0.75" bottom="0.75" header="0.3" footer="0.3"/>
  <pageSetup scale="92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3119F-E6E7-40F7-9D74-7F4C832F55C3}">
  <dimension ref="A1:H159"/>
  <sheetViews>
    <sheetView tabSelected="1" workbookViewId="0">
      <selection activeCell="I17" sqref="I17"/>
    </sheetView>
  </sheetViews>
  <sheetFormatPr baseColWidth="10"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2023</v>
      </c>
      <c r="B2">
        <v>1</v>
      </c>
      <c r="C2" t="s">
        <v>13</v>
      </c>
      <c r="D2">
        <v>0</v>
      </c>
      <c r="E2">
        <v>0</v>
      </c>
      <c r="F2">
        <v>0</v>
      </c>
      <c r="G2" t="s">
        <v>9</v>
      </c>
      <c r="H2" t="s">
        <v>10</v>
      </c>
    </row>
    <row r="3" spans="1:8" x14ac:dyDescent="0.25">
      <c r="A3">
        <v>2023</v>
      </c>
      <c r="B3">
        <v>2</v>
      </c>
      <c r="C3" t="s">
        <v>13</v>
      </c>
      <c r="D3">
        <v>0</v>
      </c>
      <c r="E3">
        <v>0</v>
      </c>
      <c r="F3">
        <v>0</v>
      </c>
      <c r="G3" t="s">
        <v>9</v>
      </c>
      <c r="H3" t="s">
        <v>10</v>
      </c>
    </row>
    <row r="4" spans="1:8" x14ac:dyDescent="0.25">
      <c r="A4">
        <v>2023</v>
      </c>
      <c r="B4">
        <v>3</v>
      </c>
      <c r="C4" t="s">
        <v>13</v>
      </c>
      <c r="D4">
        <v>0</v>
      </c>
      <c r="E4">
        <v>0</v>
      </c>
      <c r="F4">
        <v>0</v>
      </c>
      <c r="G4" t="s">
        <v>9</v>
      </c>
      <c r="H4" t="s">
        <v>10</v>
      </c>
    </row>
    <row r="5" spans="1:8" x14ac:dyDescent="0.25">
      <c r="A5">
        <v>2023</v>
      </c>
      <c r="B5">
        <v>4</v>
      </c>
      <c r="C5" t="s">
        <v>13</v>
      </c>
      <c r="D5">
        <v>0</v>
      </c>
      <c r="E5">
        <v>0</v>
      </c>
      <c r="F5">
        <v>0</v>
      </c>
      <c r="G5" t="s">
        <v>9</v>
      </c>
      <c r="H5" t="s">
        <v>10</v>
      </c>
    </row>
    <row r="6" spans="1:8" x14ac:dyDescent="0.25">
      <c r="A6">
        <v>2023</v>
      </c>
      <c r="B6">
        <v>5</v>
      </c>
      <c r="C6" t="s">
        <v>13</v>
      </c>
      <c r="D6">
        <v>5</v>
      </c>
      <c r="E6">
        <v>3</v>
      </c>
      <c r="F6">
        <f>1/3</f>
        <v>0.33333333333333331</v>
      </c>
      <c r="G6" t="s">
        <v>11</v>
      </c>
      <c r="H6" t="s">
        <v>10</v>
      </c>
    </row>
    <row r="7" spans="1:8" x14ac:dyDescent="0.25">
      <c r="A7">
        <v>2023</v>
      </c>
      <c r="B7">
        <v>6</v>
      </c>
      <c r="C7" t="s">
        <v>13</v>
      </c>
      <c r="D7">
        <v>15</v>
      </c>
      <c r="E7">
        <v>3</v>
      </c>
      <c r="F7">
        <f>2/3</f>
        <v>0.66666666666666663</v>
      </c>
      <c r="G7" t="s">
        <v>11</v>
      </c>
      <c r="H7" t="s">
        <v>10</v>
      </c>
    </row>
    <row r="8" spans="1:8" x14ac:dyDescent="0.25">
      <c r="A8">
        <v>2023</v>
      </c>
      <c r="B8">
        <v>7</v>
      </c>
      <c r="C8" t="s">
        <v>13</v>
      </c>
      <c r="D8">
        <v>1</v>
      </c>
      <c r="E8">
        <v>1</v>
      </c>
      <c r="F8">
        <v>0</v>
      </c>
      <c r="G8" t="s">
        <v>11</v>
      </c>
      <c r="H8" t="s">
        <v>10</v>
      </c>
    </row>
    <row r="9" spans="1:8" x14ac:dyDescent="0.25">
      <c r="A9">
        <v>2023</v>
      </c>
      <c r="B9">
        <v>8</v>
      </c>
      <c r="C9" t="s">
        <v>13</v>
      </c>
      <c r="D9">
        <v>5</v>
      </c>
      <c r="E9">
        <v>2</v>
      </c>
      <c r="F9">
        <v>0</v>
      </c>
      <c r="G9" t="s">
        <v>11</v>
      </c>
      <c r="H9" t="s">
        <v>10</v>
      </c>
    </row>
    <row r="10" spans="1:8" x14ac:dyDescent="0.25">
      <c r="A10">
        <v>2023</v>
      </c>
      <c r="B10">
        <v>9</v>
      </c>
      <c r="C10" t="s">
        <v>13</v>
      </c>
      <c r="D10">
        <v>24</v>
      </c>
      <c r="E10">
        <v>2</v>
      </c>
      <c r="F10">
        <v>1</v>
      </c>
      <c r="G10" t="s">
        <v>9</v>
      </c>
      <c r="H10" t="s">
        <v>10</v>
      </c>
    </row>
    <row r="11" spans="1:8" x14ac:dyDescent="0.25">
      <c r="A11">
        <v>2023</v>
      </c>
      <c r="B11">
        <v>10</v>
      </c>
      <c r="C11" t="s">
        <v>13</v>
      </c>
      <c r="D11">
        <v>30</v>
      </c>
      <c r="E11">
        <v>4</v>
      </c>
      <c r="F11">
        <v>0.75</v>
      </c>
      <c r="G11" t="s">
        <v>9</v>
      </c>
      <c r="H11" t="s">
        <v>10</v>
      </c>
    </row>
    <row r="12" spans="1:8" x14ac:dyDescent="0.25">
      <c r="A12">
        <v>2023</v>
      </c>
      <c r="B12">
        <v>11</v>
      </c>
      <c r="C12" t="s">
        <v>13</v>
      </c>
      <c r="D12">
        <v>10</v>
      </c>
      <c r="E12">
        <v>2</v>
      </c>
      <c r="F12">
        <v>1</v>
      </c>
      <c r="G12" t="s">
        <v>9</v>
      </c>
      <c r="H12" t="s">
        <v>10</v>
      </c>
    </row>
    <row r="13" spans="1:8" x14ac:dyDescent="0.25">
      <c r="A13">
        <v>2023</v>
      </c>
      <c r="B13">
        <v>12</v>
      </c>
      <c r="C13" t="s">
        <v>13</v>
      </c>
      <c r="D13">
        <v>37</v>
      </c>
      <c r="E13">
        <v>4</v>
      </c>
      <c r="F13">
        <v>0.5</v>
      </c>
      <c r="G13" t="s">
        <v>9</v>
      </c>
      <c r="H13" t="s">
        <v>10</v>
      </c>
    </row>
    <row r="14" spans="1:8" x14ac:dyDescent="0.25">
      <c r="A14">
        <v>2023</v>
      </c>
      <c r="B14">
        <v>13</v>
      </c>
      <c r="C14" t="s">
        <v>13</v>
      </c>
      <c r="D14">
        <v>18</v>
      </c>
      <c r="E14">
        <v>1</v>
      </c>
      <c r="F14">
        <v>1</v>
      </c>
      <c r="G14" t="s">
        <v>9</v>
      </c>
      <c r="H14" t="s">
        <v>10</v>
      </c>
    </row>
    <row r="15" spans="1:8" x14ac:dyDescent="0.25">
      <c r="A15">
        <v>2023</v>
      </c>
      <c r="B15">
        <v>14</v>
      </c>
      <c r="C15" t="s">
        <v>13</v>
      </c>
      <c r="D15">
        <v>1</v>
      </c>
      <c r="E15">
        <v>1</v>
      </c>
      <c r="F15">
        <v>0</v>
      </c>
      <c r="G15" t="s">
        <v>11</v>
      </c>
      <c r="H15" t="s">
        <v>12</v>
      </c>
    </row>
    <row r="16" spans="1:8" x14ac:dyDescent="0.25">
      <c r="A16">
        <v>2023</v>
      </c>
      <c r="B16">
        <v>15</v>
      </c>
      <c r="C16" t="s">
        <v>13</v>
      </c>
      <c r="D16">
        <v>20</v>
      </c>
      <c r="E16">
        <v>2</v>
      </c>
      <c r="F16">
        <v>1</v>
      </c>
      <c r="G16" t="s">
        <v>9</v>
      </c>
      <c r="H16" t="s">
        <v>12</v>
      </c>
    </row>
    <row r="17" spans="1:8" x14ac:dyDescent="0.25">
      <c r="A17">
        <v>2023</v>
      </c>
      <c r="B17">
        <v>16</v>
      </c>
      <c r="C17" t="s">
        <v>13</v>
      </c>
      <c r="D17">
        <v>38</v>
      </c>
      <c r="E17">
        <v>2</v>
      </c>
      <c r="F17">
        <v>1</v>
      </c>
      <c r="G17" t="s">
        <v>9</v>
      </c>
      <c r="H17" t="s">
        <v>12</v>
      </c>
    </row>
    <row r="18" spans="1:8" x14ac:dyDescent="0.25">
      <c r="A18">
        <v>2023</v>
      </c>
      <c r="B18">
        <v>17</v>
      </c>
      <c r="C18" t="s">
        <v>13</v>
      </c>
      <c r="D18">
        <v>1</v>
      </c>
      <c r="E18">
        <v>1</v>
      </c>
      <c r="F18">
        <v>0</v>
      </c>
      <c r="G18" t="s">
        <v>9</v>
      </c>
      <c r="H18" t="s">
        <v>12</v>
      </c>
    </row>
    <row r="19" spans="1:8" x14ac:dyDescent="0.25">
      <c r="A19">
        <v>2023</v>
      </c>
      <c r="B19">
        <v>18</v>
      </c>
      <c r="C19" t="s">
        <v>13</v>
      </c>
      <c r="D19">
        <v>43</v>
      </c>
      <c r="E19">
        <v>4</v>
      </c>
      <c r="F19">
        <v>0.75</v>
      </c>
      <c r="G19" t="s">
        <v>9</v>
      </c>
      <c r="H19" t="s">
        <v>12</v>
      </c>
    </row>
    <row r="20" spans="1:8" x14ac:dyDescent="0.25">
      <c r="A20">
        <v>2023</v>
      </c>
      <c r="B20">
        <v>19</v>
      </c>
      <c r="C20" t="s">
        <v>13</v>
      </c>
      <c r="D20">
        <v>33</v>
      </c>
      <c r="E20">
        <v>3</v>
      </c>
      <c r="F20">
        <v>1</v>
      </c>
      <c r="G20" t="s">
        <v>11</v>
      </c>
      <c r="H20" t="s">
        <v>12</v>
      </c>
    </row>
    <row r="21" spans="1:8" x14ac:dyDescent="0.25">
      <c r="A21">
        <v>2023</v>
      </c>
      <c r="B21">
        <v>20</v>
      </c>
      <c r="C21" t="s">
        <v>13</v>
      </c>
      <c r="D21">
        <v>46</v>
      </c>
      <c r="E21">
        <v>6</v>
      </c>
      <c r="F21">
        <v>1</v>
      </c>
      <c r="G21" t="s">
        <v>9</v>
      </c>
      <c r="H21" t="s">
        <v>12</v>
      </c>
    </row>
    <row r="22" spans="1:8" x14ac:dyDescent="0.25">
      <c r="A22">
        <v>2023</v>
      </c>
      <c r="B22">
        <v>21</v>
      </c>
      <c r="C22" t="s">
        <v>13</v>
      </c>
      <c r="D22">
        <v>3</v>
      </c>
      <c r="E22">
        <v>1</v>
      </c>
      <c r="F22">
        <v>0</v>
      </c>
      <c r="G22" t="s">
        <v>9</v>
      </c>
      <c r="H22" t="s">
        <v>12</v>
      </c>
    </row>
    <row r="23" spans="1:8" x14ac:dyDescent="0.25">
      <c r="A23">
        <v>2023</v>
      </c>
      <c r="B23">
        <v>22</v>
      </c>
      <c r="C23" t="s">
        <v>13</v>
      </c>
      <c r="D23">
        <v>28</v>
      </c>
      <c r="E23">
        <v>6</v>
      </c>
      <c r="F23">
        <f>1/6</f>
        <v>0.16666666666666666</v>
      </c>
      <c r="G23" t="s">
        <v>9</v>
      </c>
      <c r="H23" t="s">
        <v>12</v>
      </c>
    </row>
    <row r="24" spans="1:8" x14ac:dyDescent="0.25">
      <c r="A24">
        <v>2023</v>
      </c>
      <c r="B24">
        <v>23</v>
      </c>
      <c r="C24" t="s">
        <v>13</v>
      </c>
      <c r="D24">
        <v>19</v>
      </c>
      <c r="E24">
        <v>3</v>
      </c>
      <c r="F24">
        <f>1/3</f>
        <v>0.33333333333333331</v>
      </c>
      <c r="G24" t="s">
        <v>9</v>
      </c>
      <c r="H24" t="s">
        <v>12</v>
      </c>
    </row>
    <row r="25" spans="1:8" x14ac:dyDescent="0.25">
      <c r="A25">
        <v>2023</v>
      </c>
      <c r="B25">
        <v>24</v>
      </c>
      <c r="C25" t="s">
        <v>13</v>
      </c>
      <c r="D25">
        <v>63</v>
      </c>
      <c r="E25">
        <v>11</v>
      </c>
      <c r="F25">
        <f>6/11</f>
        <v>0.54545454545454541</v>
      </c>
      <c r="G25" t="s">
        <v>11</v>
      </c>
      <c r="H25" t="s">
        <v>12</v>
      </c>
    </row>
    <row r="26" spans="1:8" x14ac:dyDescent="0.25">
      <c r="A26">
        <v>2023</v>
      </c>
      <c r="B26">
        <v>25</v>
      </c>
      <c r="C26" t="s">
        <v>13</v>
      </c>
      <c r="D26">
        <v>24</v>
      </c>
      <c r="E26">
        <v>2</v>
      </c>
      <c r="F26">
        <v>1</v>
      </c>
      <c r="G26" t="s">
        <v>9</v>
      </c>
      <c r="H26" t="s">
        <v>12</v>
      </c>
    </row>
    <row r="27" spans="1:8" x14ac:dyDescent="0.25">
      <c r="A27">
        <v>2023</v>
      </c>
      <c r="B27">
        <v>26</v>
      </c>
      <c r="C27" t="s">
        <v>13</v>
      </c>
      <c r="D27">
        <v>12</v>
      </c>
      <c r="E27">
        <v>1</v>
      </c>
      <c r="F27">
        <v>1</v>
      </c>
      <c r="G27" t="s">
        <v>9</v>
      </c>
      <c r="H27" t="s">
        <v>12</v>
      </c>
    </row>
    <row r="28" spans="1:8" x14ac:dyDescent="0.25">
      <c r="A28">
        <v>2023</v>
      </c>
      <c r="B28">
        <v>27</v>
      </c>
      <c r="C28" t="s">
        <v>13</v>
      </c>
      <c r="D28">
        <v>27</v>
      </c>
      <c r="E28">
        <v>5</v>
      </c>
      <c r="F28">
        <f>3/5</f>
        <v>0.6</v>
      </c>
      <c r="G28" t="s">
        <v>9</v>
      </c>
      <c r="H28" t="s">
        <v>12</v>
      </c>
    </row>
    <row r="29" spans="1:8" x14ac:dyDescent="0.25">
      <c r="A29">
        <v>2023</v>
      </c>
      <c r="B29">
        <v>28</v>
      </c>
      <c r="C29" t="s">
        <v>13</v>
      </c>
      <c r="D29">
        <v>91</v>
      </c>
      <c r="E29">
        <v>5</v>
      </c>
      <c r="F29">
        <v>1</v>
      </c>
      <c r="G29" t="s">
        <v>9</v>
      </c>
      <c r="H29" t="s">
        <v>12</v>
      </c>
    </row>
    <row r="30" spans="1:8" x14ac:dyDescent="0.25">
      <c r="A30">
        <v>2023</v>
      </c>
      <c r="B30">
        <v>29</v>
      </c>
      <c r="C30" t="s">
        <v>13</v>
      </c>
      <c r="D30">
        <v>65</v>
      </c>
      <c r="E30">
        <v>8</v>
      </c>
      <c r="F30">
        <f>7/8</f>
        <v>0.875</v>
      </c>
      <c r="G30" t="s">
        <v>11</v>
      </c>
      <c r="H30" t="s">
        <v>12</v>
      </c>
    </row>
    <row r="31" spans="1:8" x14ac:dyDescent="0.25">
      <c r="A31">
        <v>2023</v>
      </c>
      <c r="B31">
        <v>30</v>
      </c>
      <c r="C31" t="s">
        <v>13</v>
      </c>
      <c r="D31">
        <v>30</v>
      </c>
      <c r="E31">
        <v>6</v>
      </c>
      <c r="F31">
        <v>1</v>
      </c>
      <c r="G31" t="s">
        <v>11</v>
      </c>
      <c r="H31" t="s">
        <v>12</v>
      </c>
    </row>
    <row r="32" spans="1:8" x14ac:dyDescent="0.25">
      <c r="A32">
        <v>2023</v>
      </c>
      <c r="B32">
        <v>31</v>
      </c>
      <c r="C32" t="s">
        <v>13</v>
      </c>
      <c r="D32">
        <v>8</v>
      </c>
      <c r="E32">
        <v>1</v>
      </c>
      <c r="F32">
        <v>1</v>
      </c>
      <c r="G32" t="s">
        <v>11</v>
      </c>
      <c r="H32" t="s">
        <v>12</v>
      </c>
    </row>
    <row r="33" spans="1:8" x14ac:dyDescent="0.25">
      <c r="A33">
        <v>2023</v>
      </c>
      <c r="B33">
        <v>32</v>
      </c>
      <c r="C33" t="s">
        <v>13</v>
      </c>
      <c r="D33">
        <v>13</v>
      </c>
      <c r="E33">
        <v>6</v>
      </c>
      <c r="F33">
        <v>0.5</v>
      </c>
      <c r="G33" t="s">
        <v>9</v>
      </c>
      <c r="H33" t="s">
        <v>12</v>
      </c>
    </row>
    <row r="34" spans="1:8" x14ac:dyDescent="0.25">
      <c r="A34">
        <v>2023</v>
      </c>
      <c r="B34">
        <v>33</v>
      </c>
      <c r="C34" t="s">
        <v>13</v>
      </c>
      <c r="D34">
        <v>12</v>
      </c>
      <c r="E34">
        <v>1</v>
      </c>
      <c r="F34">
        <v>1</v>
      </c>
      <c r="G34" t="s">
        <v>9</v>
      </c>
      <c r="H34" t="s">
        <v>12</v>
      </c>
    </row>
    <row r="35" spans="1:8" x14ac:dyDescent="0.25">
      <c r="A35">
        <v>2023</v>
      </c>
      <c r="B35">
        <v>34</v>
      </c>
      <c r="C35" t="s">
        <v>13</v>
      </c>
      <c r="D35">
        <v>39</v>
      </c>
      <c r="E35">
        <v>3</v>
      </c>
      <c r="F35">
        <f>2/3</f>
        <v>0.66666666666666663</v>
      </c>
      <c r="G35" t="s">
        <v>9</v>
      </c>
      <c r="H35" t="s">
        <v>12</v>
      </c>
    </row>
    <row r="36" spans="1:8" x14ac:dyDescent="0.25">
      <c r="A36">
        <v>2023</v>
      </c>
      <c r="B36">
        <v>35</v>
      </c>
      <c r="C36" t="s">
        <v>13</v>
      </c>
      <c r="D36">
        <v>15</v>
      </c>
      <c r="E36">
        <v>3</v>
      </c>
      <c r="F36">
        <v>1</v>
      </c>
      <c r="G36" t="s">
        <v>9</v>
      </c>
      <c r="H36" t="s">
        <v>12</v>
      </c>
    </row>
    <row r="37" spans="1:8" x14ac:dyDescent="0.25">
      <c r="A37">
        <v>2023</v>
      </c>
      <c r="B37">
        <v>36</v>
      </c>
      <c r="C37" t="s">
        <v>13</v>
      </c>
      <c r="D37">
        <v>2</v>
      </c>
      <c r="E37">
        <v>2</v>
      </c>
      <c r="F37">
        <v>0</v>
      </c>
      <c r="G37" t="s">
        <v>9</v>
      </c>
      <c r="H37" t="s">
        <v>12</v>
      </c>
    </row>
    <row r="38" spans="1:8" x14ac:dyDescent="0.25">
      <c r="A38">
        <v>2023</v>
      </c>
      <c r="B38">
        <v>37</v>
      </c>
      <c r="C38" t="s">
        <v>13</v>
      </c>
      <c r="D38">
        <v>0</v>
      </c>
      <c r="E38">
        <v>0</v>
      </c>
      <c r="F38">
        <v>0</v>
      </c>
      <c r="G38" t="s">
        <v>9</v>
      </c>
      <c r="H38" t="s">
        <v>12</v>
      </c>
    </row>
    <row r="39" spans="1:8" x14ac:dyDescent="0.25">
      <c r="A39">
        <v>2023</v>
      </c>
      <c r="B39">
        <v>38</v>
      </c>
      <c r="C39" t="s">
        <v>13</v>
      </c>
      <c r="D39">
        <v>22</v>
      </c>
      <c r="E39">
        <v>4</v>
      </c>
      <c r="F39">
        <v>0.5</v>
      </c>
      <c r="G39" t="s">
        <v>9</v>
      </c>
      <c r="H39" t="s">
        <v>12</v>
      </c>
    </row>
    <row r="40" spans="1:8" x14ac:dyDescent="0.25">
      <c r="A40">
        <v>2023</v>
      </c>
      <c r="B40">
        <v>39</v>
      </c>
      <c r="C40" t="s">
        <v>13</v>
      </c>
      <c r="D40">
        <v>8</v>
      </c>
      <c r="E40">
        <v>1</v>
      </c>
      <c r="F40">
        <v>1</v>
      </c>
      <c r="G40" t="s">
        <v>9</v>
      </c>
      <c r="H40" t="s">
        <v>12</v>
      </c>
    </row>
    <row r="41" spans="1:8" x14ac:dyDescent="0.25">
      <c r="A41">
        <v>2023</v>
      </c>
      <c r="B41">
        <v>40</v>
      </c>
      <c r="C41" t="s">
        <v>13</v>
      </c>
      <c r="D41">
        <v>12</v>
      </c>
      <c r="E41">
        <v>1</v>
      </c>
      <c r="F41">
        <v>1</v>
      </c>
      <c r="G41" t="s">
        <v>9</v>
      </c>
      <c r="H41" t="s">
        <v>12</v>
      </c>
    </row>
    <row r="42" spans="1:8" x14ac:dyDescent="0.25">
      <c r="A42">
        <v>2023</v>
      </c>
      <c r="B42">
        <v>41</v>
      </c>
      <c r="C42" t="s">
        <v>13</v>
      </c>
      <c r="D42">
        <v>41</v>
      </c>
      <c r="E42">
        <v>3</v>
      </c>
      <c r="F42">
        <f>2/3</f>
        <v>0.66666666666666663</v>
      </c>
      <c r="G42" t="s">
        <v>9</v>
      </c>
      <c r="H42" t="s">
        <v>12</v>
      </c>
    </row>
    <row r="43" spans="1:8" x14ac:dyDescent="0.25">
      <c r="A43">
        <v>2023</v>
      </c>
      <c r="B43">
        <v>42</v>
      </c>
      <c r="C43" t="s">
        <v>13</v>
      </c>
      <c r="D43">
        <v>26</v>
      </c>
      <c r="E43">
        <v>3</v>
      </c>
      <c r="F43">
        <v>1</v>
      </c>
      <c r="G43" t="s">
        <v>9</v>
      </c>
      <c r="H43" t="s">
        <v>12</v>
      </c>
    </row>
    <row r="44" spans="1:8" x14ac:dyDescent="0.25">
      <c r="A44">
        <v>2023</v>
      </c>
      <c r="B44">
        <v>43</v>
      </c>
      <c r="C44" t="s">
        <v>13</v>
      </c>
      <c r="D44">
        <v>12</v>
      </c>
      <c r="E44">
        <v>1</v>
      </c>
      <c r="F44">
        <v>1</v>
      </c>
      <c r="G44" t="s">
        <v>9</v>
      </c>
      <c r="H44" t="s">
        <v>12</v>
      </c>
    </row>
    <row r="45" spans="1:8" x14ac:dyDescent="0.25">
      <c r="A45">
        <v>2023</v>
      </c>
      <c r="B45">
        <v>44</v>
      </c>
      <c r="C45" t="s">
        <v>13</v>
      </c>
      <c r="D45">
        <v>4</v>
      </c>
      <c r="E45">
        <v>1</v>
      </c>
      <c r="F45">
        <v>1</v>
      </c>
      <c r="G45" t="s">
        <v>9</v>
      </c>
      <c r="H45" t="s">
        <v>12</v>
      </c>
    </row>
    <row r="46" spans="1:8" x14ac:dyDescent="0.25">
      <c r="A46">
        <v>2023</v>
      </c>
      <c r="B46">
        <v>45</v>
      </c>
      <c r="C46" t="s">
        <v>13</v>
      </c>
      <c r="D46">
        <v>0</v>
      </c>
      <c r="E46">
        <v>0</v>
      </c>
      <c r="F46">
        <v>0</v>
      </c>
      <c r="G46" t="s">
        <v>9</v>
      </c>
      <c r="H46" t="s">
        <v>10</v>
      </c>
    </row>
    <row r="47" spans="1:8" x14ac:dyDescent="0.25">
      <c r="A47">
        <v>2023</v>
      </c>
      <c r="B47">
        <v>46</v>
      </c>
      <c r="C47" t="s">
        <v>13</v>
      </c>
      <c r="D47">
        <v>15</v>
      </c>
      <c r="E47">
        <v>3</v>
      </c>
      <c r="F47">
        <f>2/3</f>
        <v>0.66666666666666663</v>
      </c>
      <c r="G47" t="s">
        <v>9</v>
      </c>
      <c r="H47" t="s">
        <v>10</v>
      </c>
    </row>
    <row r="48" spans="1:8" x14ac:dyDescent="0.25">
      <c r="A48">
        <v>2023</v>
      </c>
      <c r="B48">
        <v>47</v>
      </c>
      <c r="C48" t="s">
        <v>13</v>
      </c>
      <c r="D48">
        <v>8</v>
      </c>
      <c r="E48">
        <v>5</v>
      </c>
      <c r="F48">
        <f>3/5</f>
        <v>0.6</v>
      </c>
      <c r="G48" t="s">
        <v>9</v>
      </c>
      <c r="H48" t="s">
        <v>10</v>
      </c>
    </row>
    <row r="49" spans="1:8" x14ac:dyDescent="0.25">
      <c r="A49">
        <v>2023</v>
      </c>
      <c r="B49">
        <v>48</v>
      </c>
      <c r="C49" t="s">
        <v>13</v>
      </c>
      <c r="D49">
        <v>62</v>
      </c>
      <c r="E49">
        <v>4</v>
      </c>
      <c r="F49">
        <f>3/4</f>
        <v>0.75</v>
      </c>
      <c r="G49" t="s">
        <v>9</v>
      </c>
      <c r="H49" t="s">
        <v>10</v>
      </c>
    </row>
    <row r="50" spans="1:8" x14ac:dyDescent="0.25">
      <c r="A50">
        <v>2023</v>
      </c>
      <c r="B50">
        <v>49</v>
      </c>
      <c r="C50" t="s">
        <v>13</v>
      </c>
      <c r="D50">
        <v>0</v>
      </c>
      <c r="E50">
        <v>0</v>
      </c>
      <c r="F50">
        <v>0</v>
      </c>
      <c r="G50" t="s">
        <v>9</v>
      </c>
      <c r="H50" t="s">
        <v>10</v>
      </c>
    </row>
    <row r="51" spans="1:8" x14ac:dyDescent="0.25">
      <c r="A51">
        <v>2023</v>
      </c>
      <c r="B51">
        <v>50</v>
      </c>
      <c r="C51" t="s">
        <v>13</v>
      </c>
      <c r="D51">
        <v>1</v>
      </c>
      <c r="E51">
        <v>1</v>
      </c>
      <c r="F51">
        <v>0</v>
      </c>
      <c r="G51" t="s">
        <v>11</v>
      </c>
      <c r="H51" t="s">
        <v>10</v>
      </c>
    </row>
    <row r="52" spans="1:8" x14ac:dyDescent="0.25">
      <c r="A52">
        <v>2023</v>
      </c>
      <c r="B52">
        <v>51</v>
      </c>
      <c r="C52" t="s">
        <v>13</v>
      </c>
      <c r="D52">
        <v>25</v>
      </c>
      <c r="E52">
        <v>2</v>
      </c>
      <c r="F52">
        <v>0.5</v>
      </c>
      <c r="G52" t="s">
        <v>11</v>
      </c>
      <c r="H52" t="s">
        <v>10</v>
      </c>
    </row>
    <row r="53" spans="1:8" x14ac:dyDescent="0.25">
      <c r="A53">
        <v>2023</v>
      </c>
      <c r="B53">
        <v>52</v>
      </c>
      <c r="C53" t="s">
        <v>13</v>
      </c>
      <c r="D53">
        <v>13</v>
      </c>
      <c r="E53">
        <v>3</v>
      </c>
      <c r="F53">
        <f>2/3</f>
        <v>0.66666666666666663</v>
      </c>
      <c r="G53" t="s">
        <v>11</v>
      </c>
      <c r="H53" t="s">
        <v>10</v>
      </c>
    </row>
    <row r="54" spans="1:8" x14ac:dyDescent="0.25">
      <c r="A54">
        <v>2024</v>
      </c>
      <c r="B54">
        <v>1</v>
      </c>
      <c r="C54" t="s">
        <v>13</v>
      </c>
      <c r="D54">
        <v>0</v>
      </c>
      <c r="E54">
        <v>0</v>
      </c>
      <c r="F54">
        <v>0</v>
      </c>
      <c r="G54" t="s">
        <v>9</v>
      </c>
      <c r="H54" t="s">
        <v>10</v>
      </c>
    </row>
    <row r="55" spans="1:8" x14ac:dyDescent="0.25">
      <c r="A55">
        <v>2024</v>
      </c>
      <c r="B55">
        <v>2</v>
      </c>
      <c r="C55" t="s">
        <v>13</v>
      </c>
      <c r="D55">
        <v>0</v>
      </c>
      <c r="E55">
        <v>0</v>
      </c>
      <c r="F55">
        <v>0</v>
      </c>
      <c r="G55" t="s">
        <v>9</v>
      </c>
      <c r="H55" t="s">
        <v>10</v>
      </c>
    </row>
    <row r="56" spans="1:8" x14ac:dyDescent="0.25">
      <c r="A56">
        <v>2024</v>
      </c>
      <c r="B56">
        <v>3</v>
      </c>
      <c r="C56" t="s">
        <v>13</v>
      </c>
      <c r="D56">
        <v>12</v>
      </c>
      <c r="E56">
        <v>1</v>
      </c>
      <c r="F56">
        <v>1</v>
      </c>
      <c r="G56" t="s">
        <v>9</v>
      </c>
      <c r="H56" t="s">
        <v>10</v>
      </c>
    </row>
    <row r="57" spans="1:8" x14ac:dyDescent="0.25">
      <c r="A57">
        <v>2024</v>
      </c>
      <c r="B57">
        <v>4</v>
      </c>
      <c r="C57" t="s">
        <v>13</v>
      </c>
      <c r="D57">
        <v>15</v>
      </c>
      <c r="E57">
        <v>2</v>
      </c>
      <c r="F57">
        <v>1</v>
      </c>
      <c r="G57" t="s">
        <v>9</v>
      </c>
      <c r="H57" t="s">
        <v>10</v>
      </c>
    </row>
    <row r="58" spans="1:8" x14ac:dyDescent="0.25">
      <c r="A58">
        <v>2024</v>
      </c>
      <c r="B58">
        <v>5</v>
      </c>
      <c r="C58" t="s">
        <v>13</v>
      </c>
      <c r="D58">
        <v>25</v>
      </c>
      <c r="E58">
        <v>2</v>
      </c>
      <c r="F58">
        <v>0.5</v>
      </c>
      <c r="G58" t="s">
        <v>9</v>
      </c>
      <c r="H58" t="s">
        <v>10</v>
      </c>
    </row>
    <row r="59" spans="1:8" x14ac:dyDescent="0.25">
      <c r="A59">
        <v>2024</v>
      </c>
      <c r="B59">
        <v>6</v>
      </c>
      <c r="C59" t="s">
        <v>13</v>
      </c>
      <c r="D59">
        <v>50</v>
      </c>
      <c r="E59">
        <v>4</v>
      </c>
      <c r="F59">
        <v>0.5</v>
      </c>
      <c r="G59" t="s">
        <v>9</v>
      </c>
      <c r="H59" t="s">
        <v>10</v>
      </c>
    </row>
    <row r="60" spans="1:8" x14ac:dyDescent="0.25">
      <c r="A60">
        <v>2024</v>
      </c>
      <c r="B60">
        <v>7</v>
      </c>
      <c r="C60" t="s">
        <v>13</v>
      </c>
      <c r="D60">
        <v>24</v>
      </c>
      <c r="E60">
        <v>1</v>
      </c>
      <c r="F60">
        <v>1</v>
      </c>
      <c r="G60" t="s">
        <v>11</v>
      </c>
      <c r="H60" t="s">
        <v>10</v>
      </c>
    </row>
    <row r="61" spans="1:8" x14ac:dyDescent="0.25">
      <c r="A61">
        <v>2024</v>
      </c>
      <c r="B61">
        <v>8</v>
      </c>
      <c r="C61" t="s">
        <v>13</v>
      </c>
      <c r="D61">
        <v>25</v>
      </c>
      <c r="E61">
        <v>2</v>
      </c>
      <c r="F61">
        <v>1</v>
      </c>
      <c r="G61" t="s">
        <v>9</v>
      </c>
      <c r="H61" t="s">
        <v>10</v>
      </c>
    </row>
    <row r="62" spans="1:8" x14ac:dyDescent="0.25">
      <c r="A62">
        <v>2024</v>
      </c>
      <c r="B62">
        <v>9</v>
      </c>
      <c r="C62" t="s">
        <v>13</v>
      </c>
      <c r="D62">
        <v>0</v>
      </c>
      <c r="E62">
        <v>0</v>
      </c>
      <c r="F62">
        <v>0</v>
      </c>
      <c r="G62" t="s">
        <v>9</v>
      </c>
      <c r="H62" t="s">
        <v>10</v>
      </c>
    </row>
    <row r="63" spans="1:8" x14ac:dyDescent="0.25">
      <c r="A63">
        <v>2024</v>
      </c>
      <c r="B63">
        <v>10</v>
      </c>
      <c r="C63" t="s">
        <v>13</v>
      </c>
      <c r="D63">
        <v>0</v>
      </c>
      <c r="E63">
        <v>0</v>
      </c>
      <c r="F63">
        <v>0</v>
      </c>
      <c r="G63" t="s">
        <v>9</v>
      </c>
      <c r="H63" t="s">
        <v>10</v>
      </c>
    </row>
    <row r="64" spans="1:8" x14ac:dyDescent="0.25">
      <c r="A64">
        <v>2024</v>
      </c>
      <c r="B64">
        <v>11</v>
      </c>
      <c r="C64" t="s">
        <v>13</v>
      </c>
      <c r="D64">
        <v>0</v>
      </c>
      <c r="E64">
        <v>0</v>
      </c>
      <c r="F64">
        <v>0</v>
      </c>
      <c r="G64" t="s">
        <v>9</v>
      </c>
      <c r="H64" t="s">
        <v>10</v>
      </c>
    </row>
    <row r="65" spans="1:8" x14ac:dyDescent="0.25">
      <c r="A65">
        <v>2024</v>
      </c>
      <c r="B65">
        <v>12</v>
      </c>
      <c r="C65" t="s">
        <v>13</v>
      </c>
      <c r="D65">
        <v>56</v>
      </c>
      <c r="E65">
        <v>4</v>
      </c>
      <c r="F65">
        <v>1</v>
      </c>
      <c r="G65" t="s">
        <v>9</v>
      </c>
      <c r="H65" t="s">
        <v>10</v>
      </c>
    </row>
    <row r="66" spans="1:8" x14ac:dyDescent="0.25">
      <c r="A66">
        <v>2024</v>
      </c>
      <c r="B66">
        <v>13</v>
      </c>
      <c r="C66" t="s">
        <v>13</v>
      </c>
      <c r="D66">
        <v>46</v>
      </c>
      <c r="E66">
        <v>4</v>
      </c>
      <c r="F66">
        <v>1</v>
      </c>
      <c r="G66" t="s">
        <v>11</v>
      </c>
      <c r="H66" t="s">
        <v>10</v>
      </c>
    </row>
    <row r="67" spans="1:8" x14ac:dyDescent="0.25">
      <c r="A67">
        <v>2024</v>
      </c>
      <c r="B67">
        <v>14</v>
      </c>
      <c r="C67" t="s">
        <v>13</v>
      </c>
      <c r="D67">
        <v>2</v>
      </c>
      <c r="E67">
        <v>1</v>
      </c>
      <c r="F67">
        <v>0</v>
      </c>
      <c r="G67" t="s">
        <v>9</v>
      </c>
      <c r="H67" t="s">
        <v>10</v>
      </c>
    </row>
    <row r="68" spans="1:8" x14ac:dyDescent="0.25">
      <c r="A68">
        <v>2024</v>
      </c>
      <c r="B68">
        <v>15</v>
      </c>
      <c r="C68" t="s">
        <v>13</v>
      </c>
      <c r="D68">
        <v>0</v>
      </c>
      <c r="E68">
        <v>0</v>
      </c>
      <c r="F68">
        <v>0</v>
      </c>
      <c r="G68" t="s">
        <v>9</v>
      </c>
      <c r="H68" t="s">
        <v>10</v>
      </c>
    </row>
    <row r="69" spans="1:8" x14ac:dyDescent="0.25">
      <c r="A69">
        <v>2024</v>
      </c>
      <c r="B69">
        <v>16</v>
      </c>
      <c r="C69" t="s">
        <v>13</v>
      </c>
      <c r="D69">
        <v>48</v>
      </c>
      <c r="E69">
        <v>1</v>
      </c>
      <c r="F69">
        <v>1</v>
      </c>
      <c r="G69" t="s">
        <v>11</v>
      </c>
      <c r="H69" t="s">
        <v>10</v>
      </c>
    </row>
    <row r="70" spans="1:8" x14ac:dyDescent="0.25">
      <c r="A70">
        <v>2024</v>
      </c>
      <c r="B70">
        <v>17</v>
      </c>
      <c r="C70" t="s">
        <v>13</v>
      </c>
      <c r="D70">
        <v>33</v>
      </c>
      <c r="E70">
        <v>4</v>
      </c>
      <c r="F70">
        <v>1</v>
      </c>
      <c r="G70" t="s">
        <v>9</v>
      </c>
      <c r="H70" t="s">
        <v>12</v>
      </c>
    </row>
    <row r="71" spans="1:8" x14ac:dyDescent="0.25">
      <c r="A71">
        <v>2024</v>
      </c>
      <c r="B71">
        <v>18</v>
      </c>
      <c r="C71" t="s">
        <v>13</v>
      </c>
      <c r="D71">
        <v>5</v>
      </c>
      <c r="E71">
        <v>1</v>
      </c>
      <c r="F71">
        <v>1</v>
      </c>
      <c r="G71" t="s">
        <v>9</v>
      </c>
      <c r="H71" t="s">
        <v>12</v>
      </c>
    </row>
    <row r="72" spans="1:8" x14ac:dyDescent="0.25">
      <c r="A72">
        <v>2024</v>
      </c>
      <c r="B72">
        <v>19</v>
      </c>
      <c r="C72" t="s">
        <v>13</v>
      </c>
      <c r="D72">
        <v>12</v>
      </c>
      <c r="E72">
        <v>1</v>
      </c>
      <c r="F72">
        <v>1</v>
      </c>
      <c r="G72" t="s">
        <v>11</v>
      </c>
      <c r="H72" t="s">
        <v>12</v>
      </c>
    </row>
    <row r="73" spans="1:8" x14ac:dyDescent="0.25">
      <c r="A73">
        <v>2024</v>
      </c>
      <c r="B73">
        <v>20</v>
      </c>
      <c r="C73" t="s">
        <v>13</v>
      </c>
      <c r="D73">
        <v>12</v>
      </c>
      <c r="E73">
        <v>1</v>
      </c>
      <c r="F73">
        <v>1</v>
      </c>
      <c r="G73" t="s">
        <v>9</v>
      </c>
      <c r="H73" t="s">
        <v>12</v>
      </c>
    </row>
    <row r="74" spans="1:8" x14ac:dyDescent="0.25">
      <c r="A74">
        <v>2024</v>
      </c>
      <c r="B74">
        <v>21</v>
      </c>
      <c r="C74" t="s">
        <v>13</v>
      </c>
      <c r="D74">
        <v>13</v>
      </c>
      <c r="E74">
        <v>3</v>
      </c>
      <c r="F74">
        <v>1</v>
      </c>
      <c r="G74" t="s">
        <v>9</v>
      </c>
      <c r="H74" t="s">
        <v>12</v>
      </c>
    </row>
    <row r="75" spans="1:8" x14ac:dyDescent="0.25">
      <c r="A75">
        <v>2024</v>
      </c>
      <c r="B75">
        <v>22</v>
      </c>
      <c r="C75" t="s">
        <v>13</v>
      </c>
      <c r="D75">
        <v>0</v>
      </c>
      <c r="E75">
        <v>0</v>
      </c>
      <c r="F75">
        <v>0</v>
      </c>
      <c r="G75" t="s">
        <v>9</v>
      </c>
      <c r="H75" t="s">
        <v>12</v>
      </c>
    </row>
    <row r="76" spans="1:8" x14ac:dyDescent="0.25">
      <c r="A76">
        <v>2024</v>
      </c>
      <c r="B76">
        <v>23</v>
      </c>
      <c r="C76" t="s">
        <v>13</v>
      </c>
      <c r="D76">
        <v>8</v>
      </c>
      <c r="E76">
        <v>4</v>
      </c>
      <c r="F76">
        <v>0.25</v>
      </c>
      <c r="G76" t="s">
        <v>9</v>
      </c>
      <c r="H76" t="s">
        <v>12</v>
      </c>
    </row>
    <row r="77" spans="1:8" x14ac:dyDescent="0.25">
      <c r="A77">
        <v>2024</v>
      </c>
      <c r="B77">
        <v>24</v>
      </c>
      <c r="C77" t="s">
        <v>13</v>
      </c>
      <c r="D77">
        <v>0</v>
      </c>
      <c r="E77">
        <v>0</v>
      </c>
      <c r="F77">
        <v>0</v>
      </c>
      <c r="G77" t="s">
        <v>11</v>
      </c>
      <c r="H77" t="s">
        <v>12</v>
      </c>
    </row>
    <row r="78" spans="1:8" x14ac:dyDescent="0.25">
      <c r="A78">
        <v>2024</v>
      </c>
      <c r="B78">
        <v>25</v>
      </c>
      <c r="C78" t="s">
        <v>13</v>
      </c>
      <c r="D78">
        <v>48</v>
      </c>
      <c r="E78">
        <v>3</v>
      </c>
      <c r="F78">
        <v>1</v>
      </c>
      <c r="G78" t="s">
        <v>9</v>
      </c>
      <c r="H78" t="s">
        <v>12</v>
      </c>
    </row>
    <row r="79" spans="1:8" x14ac:dyDescent="0.25">
      <c r="A79">
        <v>2024</v>
      </c>
      <c r="B79">
        <v>26</v>
      </c>
      <c r="C79" t="s">
        <v>13</v>
      </c>
      <c r="D79">
        <v>9</v>
      </c>
      <c r="E79">
        <v>3</v>
      </c>
      <c r="F79">
        <v>1</v>
      </c>
      <c r="G79" t="s">
        <v>9</v>
      </c>
      <c r="H79" t="s">
        <v>12</v>
      </c>
    </row>
    <row r="80" spans="1:8" x14ac:dyDescent="0.25">
      <c r="A80">
        <v>2024</v>
      </c>
      <c r="B80">
        <v>27</v>
      </c>
      <c r="C80" t="s">
        <v>13</v>
      </c>
      <c r="D80">
        <v>0</v>
      </c>
      <c r="E80">
        <v>0</v>
      </c>
      <c r="F80">
        <v>0</v>
      </c>
      <c r="G80" t="s">
        <v>9</v>
      </c>
      <c r="H80" t="s">
        <v>12</v>
      </c>
    </row>
    <row r="81" spans="1:8" x14ac:dyDescent="0.25">
      <c r="A81">
        <v>2024</v>
      </c>
      <c r="B81">
        <v>28</v>
      </c>
      <c r="C81" t="s">
        <v>13</v>
      </c>
      <c r="D81">
        <v>0</v>
      </c>
      <c r="E81">
        <v>0</v>
      </c>
      <c r="F81">
        <v>0</v>
      </c>
      <c r="G81" t="s">
        <v>9</v>
      </c>
      <c r="H81" t="s">
        <v>12</v>
      </c>
    </row>
    <row r="82" spans="1:8" x14ac:dyDescent="0.25">
      <c r="A82">
        <v>2024</v>
      </c>
      <c r="B82">
        <v>29</v>
      </c>
      <c r="C82" t="s">
        <v>13</v>
      </c>
      <c r="D82">
        <v>39</v>
      </c>
      <c r="E82">
        <v>3</v>
      </c>
      <c r="F82">
        <v>1</v>
      </c>
      <c r="G82" t="s">
        <v>9</v>
      </c>
      <c r="H82" t="s">
        <v>12</v>
      </c>
    </row>
    <row r="83" spans="1:8" x14ac:dyDescent="0.25">
      <c r="A83">
        <v>2024</v>
      </c>
      <c r="B83">
        <v>30</v>
      </c>
      <c r="C83" t="s">
        <v>13</v>
      </c>
      <c r="D83">
        <v>66</v>
      </c>
      <c r="E83">
        <v>8</v>
      </c>
      <c r="F83">
        <v>1</v>
      </c>
      <c r="G83" t="s">
        <v>11</v>
      </c>
      <c r="H83" t="s">
        <v>12</v>
      </c>
    </row>
    <row r="84" spans="1:8" x14ac:dyDescent="0.25">
      <c r="A84">
        <v>2024</v>
      </c>
      <c r="B84">
        <v>31</v>
      </c>
      <c r="C84" t="s">
        <v>13</v>
      </c>
      <c r="D84">
        <v>1</v>
      </c>
      <c r="E84">
        <v>1</v>
      </c>
      <c r="F84">
        <v>1</v>
      </c>
      <c r="G84" t="s">
        <v>9</v>
      </c>
      <c r="H84" t="s">
        <v>12</v>
      </c>
    </row>
    <row r="85" spans="1:8" x14ac:dyDescent="0.25">
      <c r="A85">
        <v>2024</v>
      </c>
      <c r="B85">
        <v>32</v>
      </c>
      <c r="C85" t="s">
        <v>13</v>
      </c>
      <c r="D85">
        <v>9</v>
      </c>
      <c r="E85">
        <v>2</v>
      </c>
      <c r="F85">
        <v>1</v>
      </c>
      <c r="G85" t="s">
        <v>9</v>
      </c>
      <c r="H85" t="s">
        <v>12</v>
      </c>
    </row>
    <row r="86" spans="1:8" x14ac:dyDescent="0.25">
      <c r="A86">
        <v>2024</v>
      </c>
      <c r="B86">
        <v>33</v>
      </c>
      <c r="C86" t="s">
        <v>13</v>
      </c>
      <c r="D86">
        <v>1</v>
      </c>
      <c r="E86">
        <v>1</v>
      </c>
      <c r="F86">
        <v>0</v>
      </c>
      <c r="G86" t="s">
        <v>9</v>
      </c>
      <c r="H86" t="s">
        <v>12</v>
      </c>
    </row>
    <row r="87" spans="1:8" x14ac:dyDescent="0.25">
      <c r="A87">
        <v>2024</v>
      </c>
      <c r="B87">
        <v>34</v>
      </c>
      <c r="C87" t="s">
        <v>13</v>
      </c>
      <c r="D87">
        <v>28</v>
      </c>
      <c r="E87">
        <v>3</v>
      </c>
      <c r="F87">
        <v>1</v>
      </c>
      <c r="G87" t="s">
        <v>9</v>
      </c>
      <c r="H87" t="s">
        <v>12</v>
      </c>
    </row>
    <row r="88" spans="1:8" x14ac:dyDescent="0.25">
      <c r="A88">
        <v>2024</v>
      </c>
      <c r="B88">
        <v>35</v>
      </c>
      <c r="C88" t="s">
        <v>13</v>
      </c>
      <c r="D88">
        <v>60</v>
      </c>
      <c r="E88">
        <v>2</v>
      </c>
      <c r="F88">
        <v>1</v>
      </c>
      <c r="G88" t="s">
        <v>9</v>
      </c>
      <c r="H88" t="s">
        <v>12</v>
      </c>
    </row>
    <row r="89" spans="1:8" x14ac:dyDescent="0.25">
      <c r="A89">
        <v>2024</v>
      </c>
      <c r="B89">
        <v>36</v>
      </c>
      <c r="C89" t="s">
        <v>13</v>
      </c>
      <c r="D89">
        <v>6</v>
      </c>
      <c r="E89">
        <v>3</v>
      </c>
      <c r="F89">
        <v>1</v>
      </c>
      <c r="G89" t="s">
        <v>9</v>
      </c>
      <c r="H89" t="s">
        <v>12</v>
      </c>
    </row>
    <row r="90" spans="1:8" x14ac:dyDescent="0.25">
      <c r="A90">
        <v>2024</v>
      </c>
      <c r="B90">
        <v>37</v>
      </c>
      <c r="C90" t="s">
        <v>13</v>
      </c>
      <c r="D90">
        <v>1</v>
      </c>
      <c r="E90">
        <v>1</v>
      </c>
      <c r="F90">
        <v>1</v>
      </c>
      <c r="G90" t="s">
        <v>9</v>
      </c>
      <c r="H90" t="s">
        <v>12</v>
      </c>
    </row>
    <row r="91" spans="1:8" x14ac:dyDescent="0.25">
      <c r="A91">
        <v>2024</v>
      </c>
      <c r="B91">
        <v>38</v>
      </c>
      <c r="C91" t="s">
        <v>13</v>
      </c>
      <c r="D91">
        <v>0</v>
      </c>
      <c r="E91">
        <v>0</v>
      </c>
      <c r="F91">
        <v>0</v>
      </c>
      <c r="G91" t="s">
        <v>9</v>
      </c>
      <c r="H91" t="s">
        <v>12</v>
      </c>
    </row>
    <row r="92" spans="1:8" x14ac:dyDescent="0.25">
      <c r="A92">
        <v>2024</v>
      </c>
      <c r="B92">
        <v>39</v>
      </c>
      <c r="C92" t="s">
        <v>13</v>
      </c>
      <c r="D92">
        <v>42</v>
      </c>
      <c r="E92">
        <v>4</v>
      </c>
      <c r="F92">
        <v>1</v>
      </c>
      <c r="G92" t="s">
        <v>9</v>
      </c>
      <c r="H92" t="s">
        <v>12</v>
      </c>
    </row>
    <row r="93" spans="1:8" x14ac:dyDescent="0.25">
      <c r="A93">
        <v>2024</v>
      </c>
      <c r="B93">
        <v>40</v>
      </c>
      <c r="C93" t="s">
        <v>13</v>
      </c>
      <c r="D93">
        <v>7</v>
      </c>
      <c r="E93">
        <v>2</v>
      </c>
      <c r="F93">
        <v>1</v>
      </c>
      <c r="G93" t="s">
        <v>9</v>
      </c>
      <c r="H93" t="s">
        <v>12</v>
      </c>
    </row>
    <row r="94" spans="1:8" x14ac:dyDescent="0.25">
      <c r="A94">
        <v>2024</v>
      </c>
      <c r="B94">
        <v>41</v>
      </c>
      <c r="C94" t="s">
        <v>13</v>
      </c>
      <c r="D94">
        <v>15</v>
      </c>
      <c r="E94">
        <v>2</v>
      </c>
      <c r="F94">
        <v>1</v>
      </c>
      <c r="G94" t="s">
        <v>9</v>
      </c>
      <c r="H94" t="s">
        <v>12</v>
      </c>
    </row>
    <row r="95" spans="1:8" x14ac:dyDescent="0.25">
      <c r="A95">
        <v>2024</v>
      </c>
      <c r="B95">
        <v>42</v>
      </c>
      <c r="C95" t="s">
        <v>13</v>
      </c>
      <c r="D95">
        <v>11</v>
      </c>
      <c r="E95">
        <v>4</v>
      </c>
      <c r="F95">
        <v>0.75</v>
      </c>
      <c r="G95" t="s">
        <v>9</v>
      </c>
      <c r="H95" t="s">
        <v>12</v>
      </c>
    </row>
    <row r="96" spans="1:8" x14ac:dyDescent="0.25">
      <c r="A96">
        <v>2024</v>
      </c>
      <c r="B96">
        <v>43</v>
      </c>
      <c r="C96" t="s">
        <v>13</v>
      </c>
      <c r="D96">
        <v>15</v>
      </c>
      <c r="E96">
        <v>2</v>
      </c>
      <c r="F96">
        <v>1</v>
      </c>
      <c r="G96" t="s">
        <v>9</v>
      </c>
      <c r="H96" t="s">
        <v>12</v>
      </c>
    </row>
    <row r="97" spans="1:8" x14ac:dyDescent="0.25">
      <c r="A97">
        <v>2024</v>
      </c>
      <c r="B97">
        <v>44</v>
      </c>
      <c r="C97" t="s">
        <v>13</v>
      </c>
      <c r="D97">
        <v>38</v>
      </c>
      <c r="E97">
        <v>4</v>
      </c>
      <c r="F97">
        <v>1</v>
      </c>
      <c r="G97" t="s">
        <v>9</v>
      </c>
      <c r="H97" t="s">
        <v>10</v>
      </c>
    </row>
    <row r="98" spans="1:8" x14ac:dyDescent="0.25">
      <c r="A98">
        <v>2024</v>
      </c>
      <c r="B98">
        <v>45</v>
      </c>
      <c r="C98" t="s">
        <v>13</v>
      </c>
      <c r="D98">
        <v>0</v>
      </c>
      <c r="E98">
        <v>0</v>
      </c>
      <c r="F98">
        <v>0</v>
      </c>
      <c r="G98" t="s">
        <v>9</v>
      </c>
      <c r="H98" t="s">
        <v>10</v>
      </c>
    </row>
    <row r="99" spans="1:8" x14ac:dyDescent="0.25">
      <c r="A99">
        <v>2024</v>
      </c>
      <c r="B99">
        <v>46</v>
      </c>
      <c r="C99" t="s">
        <v>13</v>
      </c>
      <c r="D99">
        <v>24</v>
      </c>
      <c r="E99">
        <v>2</v>
      </c>
      <c r="F99">
        <v>1</v>
      </c>
      <c r="G99" t="s">
        <v>9</v>
      </c>
      <c r="H99" t="s">
        <v>10</v>
      </c>
    </row>
    <row r="100" spans="1:8" x14ac:dyDescent="0.25">
      <c r="A100">
        <v>2024</v>
      </c>
      <c r="B100">
        <v>47</v>
      </c>
      <c r="C100" t="s">
        <v>13</v>
      </c>
      <c r="D100">
        <v>0</v>
      </c>
      <c r="E100">
        <v>0</v>
      </c>
      <c r="F100">
        <v>0</v>
      </c>
      <c r="G100" t="s">
        <v>9</v>
      </c>
      <c r="H100" t="s">
        <v>10</v>
      </c>
    </row>
    <row r="101" spans="1:8" x14ac:dyDescent="0.25">
      <c r="A101">
        <v>2024</v>
      </c>
      <c r="B101">
        <v>48</v>
      </c>
      <c r="C101" t="s">
        <v>13</v>
      </c>
      <c r="D101">
        <v>1</v>
      </c>
      <c r="E101">
        <v>1</v>
      </c>
      <c r="F101">
        <v>1</v>
      </c>
      <c r="G101" t="s">
        <v>9</v>
      </c>
      <c r="H101" t="s">
        <v>10</v>
      </c>
    </row>
    <row r="102" spans="1:8" x14ac:dyDescent="0.25">
      <c r="A102">
        <v>2024</v>
      </c>
      <c r="B102">
        <v>49</v>
      </c>
      <c r="C102" t="s">
        <v>13</v>
      </c>
      <c r="D102">
        <v>7</v>
      </c>
      <c r="E102">
        <v>2</v>
      </c>
      <c r="F102">
        <v>0</v>
      </c>
      <c r="G102" t="s">
        <v>9</v>
      </c>
      <c r="H102" t="s">
        <v>10</v>
      </c>
    </row>
    <row r="103" spans="1:8" x14ac:dyDescent="0.25">
      <c r="A103">
        <v>2024</v>
      </c>
      <c r="B103">
        <v>50</v>
      </c>
      <c r="C103" t="s">
        <v>13</v>
      </c>
      <c r="D103">
        <v>49</v>
      </c>
      <c r="E103">
        <v>2</v>
      </c>
      <c r="F103">
        <v>0.5</v>
      </c>
      <c r="G103" t="s">
        <v>9</v>
      </c>
      <c r="H103" t="s">
        <v>10</v>
      </c>
    </row>
    <row r="104" spans="1:8" x14ac:dyDescent="0.25">
      <c r="A104">
        <v>2024</v>
      </c>
      <c r="B104">
        <v>51</v>
      </c>
      <c r="C104" t="s">
        <v>13</v>
      </c>
      <c r="D104">
        <v>34</v>
      </c>
      <c r="E104">
        <v>6</v>
      </c>
      <c r="F104">
        <v>0</v>
      </c>
      <c r="G104" t="s">
        <v>11</v>
      </c>
      <c r="H104" t="s">
        <v>10</v>
      </c>
    </row>
    <row r="105" spans="1:8" x14ac:dyDescent="0.25">
      <c r="A105">
        <v>2024</v>
      </c>
      <c r="B105">
        <v>52</v>
      </c>
      <c r="C105" t="s">
        <v>13</v>
      </c>
      <c r="D105">
        <v>19</v>
      </c>
      <c r="E105">
        <v>2</v>
      </c>
      <c r="F105">
        <v>0</v>
      </c>
      <c r="G105" t="s">
        <v>11</v>
      </c>
      <c r="H105" t="s">
        <v>10</v>
      </c>
    </row>
    <row r="106" spans="1:8" x14ac:dyDescent="0.25">
      <c r="A106">
        <v>2024</v>
      </c>
      <c r="B106">
        <v>53</v>
      </c>
      <c r="C106" t="s">
        <v>13</v>
      </c>
      <c r="D106">
        <v>0</v>
      </c>
      <c r="E106">
        <v>0</v>
      </c>
      <c r="F106">
        <v>0</v>
      </c>
      <c r="G106" t="s">
        <v>11</v>
      </c>
      <c r="H106" t="s">
        <v>10</v>
      </c>
    </row>
    <row r="107" spans="1:8" x14ac:dyDescent="0.25">
      <c r="A107">
        <v>2025</v>
      </c>
      <c r="B107">
        <v>1</v>
      </c>
      <c r="C107" t="s">
        <v>13</v>
      </c>
      <c r="D107">
        <v>3</v>
      </c>
      <c r="E107">
        <v>1</v>
      </c>
      <c r="F107">
        <v>1</v>
      </c>
      <c r="G107" t="s">
        <v>9</v>
      </c>
      <c r="H107" t="s">
        <v>10</v>
      </c>
    </row>
    <row r="108" spans="1:8" x14ac:dyDescent="0.25">
      <c r="A108">
        <v>2025</v>
      </c>
      <c r="B108">
        <v>2</v>
      </c>
      <c r="C108" t="s">
        <v>13</v>
      </c>
      <c r="D108">
        <v>0</v>
      </c>
      <c r="E108">
        <v>0</v>
      </c>
      <c r="F108">
        <v>0</v>
      </c>
      <c r="G108" t="s">
        <v>9</v>
      </c>
      <c r="H108" t="s">
        <v>10</v>
      </c>
    </row>
    <row r="109" spans="1:8" x14ac:dyDescent="0.25">
      <c r="A109">
        <v>2025</v>
      </c>
      <c r="B109">
        <v>3</v>
      </c>
      <c r="C109" t="s">
        <v>13</v>
      </c>
      <c r="D109">
        <v>2</v>
      </c>
      <c r="E109">
        <v>1</v>
      </c>
      <c r="F109">
        <v>1</v>
      </c>
      <c r="G109" t="s">
        <v>9</v>
      </c>
      <c r="H109" t="s">
        <v>10</v>
      </c>
    </row>
    <row r="110" spans="1:8" x14ac:dyDescent="0.25">
      <c r="A110">
        <v>2025</v>
      </c>
      <c r="B110">
        <v>4</v>
      </c>
      <c r="C110" t="s">
        <v>13</v>
      </c>
      <c r="D110">
        <v>12</v>
      </c>
      <c r="E110">
        <v>1</v>
      </c>
      <c r="F110">
        <v>1</v>
      </c>
      <c r="G110" t="s">
        <v>9</v>
      </c>
      <c r="H110" t="s">
        <v>10</v>
      </c>
    </row>
    <row r="111" spans="1:8" x14ac:dyDescent="0.25">
      <c r="A111">
        <v>2025</v>
      </c>
      <c r="B111">
        <v>5</v>
      </c>
      <c r="C111" t="s">
        <v>13</v>
      </c>
      <c r="D111">
        <v>2</v>
      </c>
      <c r="E111">
        <v>1</v>
      </c>
      <c r="F111">
        <v>1</v>
      </c>
      <c r="G111" t="s">
        <v>9</v>
      </c>
      <c r="H111" t="s">
        <v>10</v>
      </c>
    </row>
    <row r="112" spans="1:8" x14ac:dyDescent="0.25">
      <c r="A112">
        <v>2025</v>
      </c>
      <c r="B112">
        <v>6</v>
      </c>
      <c r="C112" t="s">
        <v>13</v>
      </c>
      <c r="D112">
        <v>1</v>
      </c>
      <c r="E112">
        <v>1</v>
      </c>
      <c r="F112">
        <v>0</v>
      </c>
      <c r="G112" t="s">
        <v>9</v>
      </c>
      <c r="H112" t="s">
        <v>10</v>
      </c>
    </row>
    <row r="113" spans="1:8" x14ac:dyDescent="0.25">
      <c r="A113">
        <v>2025</v>
      </c>
      <c r="B113">
        <v>7</v>
      </c>
      <c r="C113" t="s">
        <v>13</v>
      </c>
      <c r="D113">
        <v>13</v>
      </c>
      <c r="E113">
        <v>4</v>
      </c>
      <c r="F113">
        <v>0.25</v>
      </c>
      <c r="G113" t="s">
        <v>9</v>
      </c>
      <c r="H113" t="s">
        <v>10</v>
      </c>
    </row>
    <row r="114" spans="1:8" x14ac:dyDescent="0.25">
      <c r="A114">
        <v>2025</v>
      </c>
      <c r="B114">
        <v>8</v>
      </c>
      <c r="C114" t="s">
        <v>13</v>
      </c>
      <c r="D114">
        <v>6</v>
      </c>
      <c r="E114">
        <v>1</v>
      </c>
      <c r="F114">
        <v>1</v>
      </c>
      <c r="G114" t="s">
        <v>11</v>
      </c>
      <c r="H114" t="s">
        <v>10</v>
      </c>
    </row>
    <row r="115" spans="1:8" x14ac:dyDescent="0.25">
      <c r="A115">
        <v>2025</v>
      </c>
      <c r="B115">
        <v>9</v>
      </c>
      <c r="C115" t="s">
        <v>13</v>
      </c>
      <c r="D115">
        <v>22</v>
      </c>
      <c r="E115">
        <v>4</v>
      </c>
      <c r="F115">
        <v>1</v>
      </c>
      <c r="G115" t="s">
        <v>11</v>
      </c>
      <c r="H115" t="s">
        <v>10</v>
      </c>
    </row>
    <row r="116" spans="1:8" x14ac:dyDescent="0.25">
      <c r="A116">
        <v>2025</v>
      </c>
      <c r="B116">
        <v>10</v>
      </c>
      <c r="C116" t="s">
        <v>13</v>
      </c>
      <c r="D116">
        <v>0</v>
      </c>
      <c r="E116">
        <v>0</v>
      </c>
      <c r="F116">
        <v>0</v>
      </c>
      <c r="G116" t="s">
        <v>9</v>
      </c>
      <c r="H116" t="s">
        <v>10</v>
      </c>
    </row>
    <row r="117" spans="1:8" x14ac:dyDescent="0.25">
      <c r="A117">
        <v>2025</v>
      </c>
      <c r="B117">
        <v>11</v>
      </c>
      <c r="C117" t="s">
        <v>13</v>
      </c>
      <c r="D117">
        <v>19</v>
      </c>
      <c r="E117">
        <v>2</v>
      </c>
      <c r="F117">
        <v>0.5</v>
      </c>
      <c r="G117" t="s">
        <v>9</v>
      </c>
      <c r="H117" t="s">
        <v>10</v>
      </c>
    </row>
    <row r="118" spans="1:8" x14ac:dyDescent="0.25">
      <c r="A118">
        <v>2025</v>
      </c>
      <c r="B118">
        <v>12</v>
      </c>
      <c r="C118" t="s">
        <v>13</v>
      </c>
      <c r="D118">
        <v>16</v>
      </c>
      <c r="E118">
        <v>3</v>
      </c>
      <c r="F118">
        <f>1/3</f>
        <v>0.33333333333333331</v>
      </c>
      <c r="G118" t="s">
        <v>9</v>
      </c>
      <c r="H118" t="s">
        <v>10</v>
      </c>
    </row>
    <row r="119" spans="1:8" x14ac:dyDescent="0.25">
      <c r="A119">
        <v>2025</v>
      </c>
      <c r="B119">
        <v>13</v>
      </c>
      <c r="C119" t="s">
        <v>13</v>
      </c>
      <c r="D119">
        <v>0</v>
      </c>
      <c r="E119">
        <v>0</v>
      </c>
      <c r="F119">
        <v>0</v>
      </c>
      <c r="G119" t="s">
        <v>9</v>
      </c>
      <c r="H119" t="s">
        <v>12</v>
      </c>
    </row>
    <row r="120" spans="1:8" x14ac:dyDescent="0.25">
      <c r="A120">
        <v>2025</v>
      </c>
      <c r="B120">
        <v>14</v>
      </c>
      <c r="C120" t="s">
        <v>13</v>
      </c>
      <c r="D120">
        <v>27</v>
      </c>
      <c r="E120">
        <v>2</v>
      </c>
      <c r="F120">
        <v>1</v>
      </c>
      <c r="G120" t="s">
        <v>9</v>
      </c>
      <c r="H120" t="s">
        <v>12</v>
      </c>
    </row>
    <row r="121" spans="1:8" x14ac:dyDescent="0.25">
      <c r="A121">
        <v>2025</v>
      </c>
      <c r="B121">
        <v>15</v>
      </c>
      <c r="C121" t="s">
        <v>13</v>
      </c>
      <c r="D121">
        <v>5</v>
      </c>
      <c r="E121">
        <v>3</v>
      </c>
      <c r="F121">
        <f>2/3</f>
        <v>0.66666666666666663</v>
      </c>
      <c r="G121" t="s">
        <v>9</v>
      </c>
      <c r="H121" t="s">
        <v>12</v>
      </c>
    </row>
    <row r="122" spans="1:8" x14ac:dyDescent="0.25">
      <c r="A122">
        <v>2025</v>
      </c>
      <c r="B122">
        <v>16</v>
      </c>
      <c r="C122" t="s">
        <v>13</v>
      </c>
      <c r="D122">
        <v>30</v>
      </c>
      <c r="E122">
        <v>3</v>
      </c>
      <c r="F122">
        <v>1</v>
      </c>
      <c r="G122" t="s">
        <v>11</v>
      </c>
      <c r="H122" t="s">
        <v>12</v>
      </c>
    </row>
    <row r="123" spans="1:8" x14ac:dyDescent="0.25">
      <c r="A123">
        <v>2025</v>
      </c>
      <c r="B123">
        <v>17</v>
      </c>
      <c r="C123" t="s">
        <v>13</v>
      </c>
      <c r="D123">
        <v>0</v>
      </c>
      <c r="E123">
        <v>0</v>
      </c>
      <c r="F123">
        <v>0</v>
      </c>
      <c r="G123" t="s">
        <v>11</v>
      </c>
      <c r="H123" t="s">
        <v>12</v>
      </c>
    </row>
    <row r="124" spans="1:8" x14ac:dyDescent="0.25">
      <c r="A124">
        <v>2025</v>
      </c>
      <c r="B124">
        <v>18</v>
      </c>
      <c r="C124" t="s">
        <v>13</v>
      </c>
      <c r="D124">
        <v>11</v>
      </c>
      <c r="E124">
        <v>3</v>
      </c>
      <c r="F124">
        <f>2/3</f>
        <v>0.66666666666666663</v>
      </c>
      <c r="G124" t="s">
        <v>9</v>
      </c>
      <c r="H124" t="s">
        <v>12</v>
      </c>
    </row>
    <row r="125" spans="1:8" x14ac:dyDescent="0.25">
      <c r="A125">
        <v>2025</v>
      </c>
      <c r="B125">
        <v>19</v>
      </c>
      <c r="C125" t="s">
        <v>13</v>
      </c>
      <c r="D125">
        <v>39</v>
      </c>
      <c r="E125">
        <v>2</v>
      </c>
      <c r="F125">
        <v>0.5</v>
      </c>
      <c r="G125" t="s">
        <v>11</v>
      </c>
      <c r="H125" t="s">
        <v>12</v>
      </c>
    </row>
    <row r="126" spans="1:8" x14ac:dyDescent="0.25">
      <c r="A126">
        <v>2025</v>
      </c>
      <c r="B126">
        <v>20</v>
      </c>
      <c r="C126" t="s">
        <v>13</v>
      </c>
      <c r="D126">
        <v>5</v>
      </c>
      <c r="E126">
        <v>2</v>
      </c>
      <c r="F126">
        <v>1</v>
      </c>
      <c r="G126" t="s">
        <v>9</v>
      </c>
      <c r="H126" t="s">
        <v>12</v>
      </c>
    </row>
    <row r="127" spans="1:8" x14ac:dyDescent="0.25">
      <c r="A127">
        <v>2025</v>
      </c>
      <c r="B127">
        <v>21</v>
      </c>
      <c r="C127" t="s">
        <v>13</v>
      </c>
      <c r="D127">
        <v>26</v>
      </c>
      <c r="E127">
        <v>2</v>
      </c>
      <c r="F127">
        <v>1</v>
      </c>
      <c r="G127" t="s">
        <v>9</v>
      </c>
      <c r="H127" t="s">
        <v>12</v>
      </c>
    </row>
    <row r="128" spans="1:8" x14ac:dyDescent="0.25">
      <c r="A128">
        <v>2025</v>
      </c>
      <c r="B128">
        <v>22</v>
      </c>
      <c r="C128" t="s">
        <v>13</v>
      </c>
      <c r="D128">
        <v>6</v>
      </c>
      <c r="E128">
        <v>1</v>
      </c>
      <c r="F128">
        <v>0</v>
      </c>
      <c r="G128" t="s">
        <v>9</v>
      </c>
      <c r="H128" t="s">
        <v>12</v>
      </c>
    </row>
    <row r="129" spans="1:8" x14ac:dyDescent="0.25">
      <c r="A129">
        <v>2025</v>
      </c>
      <c r="B129">
        <v>23</v>
      </c>
      <c r="C129" t="s">
        <v>13</v>
      </c>
      <c r="D129">
        <v>10</v>
      </c>
      <c r="E129">
        <v>2</v>
      </c>
      <c r="F129">
        <v>1</v>
      </c>
      <c r="G129" t="s">
        <v>9</v>
      </c>
      <c r="H129" t="s">
        <v>12</v>
      </c>
    </row>
    <row r="130" spans="1:8" x14ac:dyDescent="0.25">
      <c r="A130">
        <v>2025</v>
      </c>
      <c r="B130">
        <v>24</v>
      </c>
      <c r="C130" t="s">
        <v>13</v>
      </c>
      <c r="D130">
        <v>3</v>
      </c>
      <c r="E130">
        <v>1</v>
      </c>
      <c r="F130">
        <v>1</v>
      </c>
      <c r="G130" t="s">
        <v>11</v>
      </c>
      <c r="H130" t="s">
        <v>12</v>
      </c>
    </row>
    <row r="131" spans="1:8" x14ac:dyDescent="0.25">
      <c r="A131">
        <v>2025</v>
      </c>
      <c r="B131">
        <v>25</v>
      </c>
      <c r="C131" t="s">
        <v>13</v>
      </c>
      <c r="D131">
        <v>4</v>
      </c>
      <c r="E131">
        <v>1</v>
      </c>
      <c r="F131">
        <v>1</v>
      </c>
      <c r="G131" t="s">
        <v>9</v>
      </c>
      <c r="H131" t="s">
        <v>12</v>
      </c>
    </row>
    <row r="132" spans="1:8" x14ac:dyDescent="0.25">
      <c r="A132">
        <v>2025</v>
      </c>
      <c r="B132">
        <v>26</v>
      </c>
      <c r="C132" t="s">
        <v>13</v>
      </c>
      <c r="D132">
        <v>0</v>
      </c>
      <c r="E132">
        <v>0</v>
      </c>
      <c r="F132">
        <v>0</v>
      </c>
      <c r="G132" t="s">
        <v>9</v>
      </c>
      <c r="H132" t="s">
        <v>12</v>
      </c>
    </row>
    <row r="133" spans="1:8" x14ac:dyDescent="0.25">
      <c r="A133">
        <v>2025</v>
      </c>
      <c r="B133">
        <v>27</v>
      </c>
      <c r="C133" t="s">
        <v>13</v>
      </c>
      <c r="D133">
        <v>33</v>
      </c>
      <c r="E133">
        <v>4</v>
      </c>
      <c r="F133">
        <v>1</v>
      </c>
      <c r="G133" t="s">
        <v>9</v>
      </c>
      <c r="H133" t="s">
        <v>12</v>
      </c>
    </row>
    <row r="134" spans="1:8" x14ac:dyDescent="0.25">
      <c r="A134">
        <v>2025</v>
      </c>
      <c r="B134">
        <v>28</v>
      </c>
      <c r="C134" t="s">
        <v>13</v>
      </c>
      <c r="D134">
        <v>0</v>
      </c>
      <c r="E134">
        <v>0</v>
      </c>
      <c r="F134">
        <v>0</v>
      </c>
      <c r="G134" t="s">
        <v>9</v>
      </c>
      <c r="H134" t="s">
        <v>12</v>
      </c>
    </row>
    <row r="135" spans="1:8" x14ac:dyDescent="0.25">
      <c r="A135">
        <v>2025</v>
      </c>
      <c r="B135">
        <v>29</v>
      </c>
      <c r="C135" t="s">
        <v>13</v>
      </c>
      <c r="D135">
        <v>29</v>
      </c>
      <c r="E135">
        <v>4</v>
      </c>
      <c r="F135">
        <v>0.5</v>
      </c>
      <c r="G135" t="s">
        <v>9</v>
      </c>
      <c r="H135" t="s">
        <v>12</v>
      </c>
    </row>
    <row r="136" spans="1:8" x14ac:dyDescent="0.25">
      <c r="A136">
        <v>2025</v>
      </c>
      <c r="B136">
        <v>30</v>
      </c>
      <c r="C136" t="s">
        <v>13</v>
      </c>
      <c r="D136">
        <v>45</v>
      </c>
      <c r="E136">
        <v>5</v>
      </c>
      <c r="F136">
        <f>4/5</f>
        <v>0.8</v>
      </c>
      <c r="G136" t="s">
        <v>11</v>
      </c>
      <c r="H136" t="s">
        <v>12</v>
      </c>
    </row>
    <row r="137" spans="1:8" x14ac:dyDescent="0.25">
      <c r="A137">
        <v>2025</v>
      </c>
      <c r="B137">
        <v>31</v>
      </c>
      <c r="C137" t="s">
        <v>13</v>
      </c>
      <c r="D137">
        <v>16</v>
      </c>
      <c r="E137">
        <v>2</v>
      </c>
      <c r="F137">
        <v>0.5</v>
      </c>
      <c r="G137" t="s">
        <v>11</v>
      </c>
      <c r="H137" t="s">
        <v>12</v>
      </c>
    </row>
    <row r="138" spans="1:8" x14ac:dyDescent="0.25">
      <c r="A138">
        <v>2025</v>
      </c>
      <c r="B138">
        <v>32</v>
      </c>
      <c r="C138" t="s">
        <v>13</v>
      </c>
      <c r="D138">
        <v>4</v>
      </c>
      <c r="E138">
        <v>2</v>
      </c>
      <c r="F138">
        <v>1</v>
      </c>
      <c r="G138" t="s">
        <v>9</v>
      </c>
      <c r="H138" t="s">
        <v>12</v>
      </c>
    </row>
    <row r="139" spans="1:8" x14ac:dyDescent="0.25">
      <c r="A139">
        <v>2025</v>
      </c>
      <c r="B139">
        <v>33</v>
      </c>
      <c r="C139" t="s">
        <v>13</v>
      </c>
      <c r="D139">
        <v>15</v>
      </c>
      <c r="E139">
        <v>2</v>
      </c>
      <c r="F139">
        <v>1</v>
      </c>
      <c r="G139" t="s">
        <v>9</v>
      </c>
      <c r="H139" t="s">
        <v>12</v>
      </c>
    </row>
    <row r="140" spans="1:8" x14ac:dyDescent="0.25">
      <c r="A140">
        <v>2025</v>
      </c>
      <c r="B140">
        <v>34</v>
      </c>
      <c r="C140" t="s">
        <v>13</v>
      </c>
      <c r="D140">
        <v>6</v>
      </c>
      <c r="E140">
        <v>1</v>
      </c>
      <c r="F140">
        <v>1</v>
      </c>
      <c r="G140" t="s">
        <v>9</v>
      </c>
      <c r="H140" t="s">
        <v>12</v>
      </c>
    </row>
    <row r="141" spans="1:8" x14ac:dyDescent="0.25">
      <c r="A141">
        <v>2025</v>
      </c>
      <c r="B141">
        <v>35</v>
      </c>
      <c r="C141" t="s">
        <v>13</v>
      </c>
      <c r="D141">
        <v>50</v>
      </c>
      <c r="E141">
        <v>3</v>
      </c>
      <c r="F141">
        <v>1</v>
      </c>
      <c r="G141" t="s">
        <v>9</v>
      </c>
      <c r="H141" t="s">
        <v>12</v>
      </c>
    </row>
    <row r="142" spans="1:8" x14ac:dyDescent="0.25">
      <c r="A142">
        <v>2025</v>
      </c>
      <c r="B142">
        <v>36</v>
      </c>
      <c r="C142" t="s">
        <v>13</v>
      </c>
      <c r="D142">
        <v>0</v>
      </c>
      <c r="E142">
        <v>0</v>
      </c>
      <c r="F142">
        <v>0</v>
      </c>
      <c r="G142" t="s">
        <v>9</v>
      </c>
      <c r="H142" t="s">
        <v>12</v>
      </c>
    </row>
    <row r="143" spans="1:8" x14ac:dyDescent="0.25">
      <c r="A143">
        <v>2025</v>
      </c>
      <c r="B143">
        <v>37</v>
      </c>
      <c r="C143" t="s">
        <v>13</v>
      </c>
      <c r="D143">
        <v>3</v>
      </c>
      <c r="E143">
        <v>1</v>
      </c>
      <c r="F143">
        <v>1</v>
      </c>
      <c r="G143" t="s">
        <v>9</v>
      </c>
      <c r="H143" t="s">
        <v>12</v>
      </c>
    </row>
    <row r="144" spans="1:8" x14ac:dyDescent="0.25">
      <c r="A144">
        <v>2025</v>
      </c>
      <c r="B144">
        <v>38</v>
      </c>
      <c r="C144" t="s">
        <v>13</v>
      </c>
      <c r="D144">
        <v>33</v>
      </c>
      <c r="E144">
        <v>2</v>
      </c>
      <c r="F144">
        <v>1</v>
      </c>
      <c r="G144" t="s">
        <v>9</v>
      </c>
      <c r="H144" t="s">
        <v>12</v>
      </c>
    </row>
    <row r="145" spans="1:8" x14ac:dyDescent="0.25">
      <c r="A145">
        <v>2025</v>
      </c>
      <c r="B145">
        <v>39</v>
      </c>
      <c r="C145" t="s">
        <v>13</v>
      </c>
      <c r="D145">
        <v>2</v>
      </c>
      <c r="E145">
        <v>1</v>
      </c>
      <c r="F145">
        <v>1</v>
      </c>
      <c r="G145" t="s">
        <v>9</v>
      </c>
      <c r="H145" t="s">
        <v>12</v>
      </c>
    </row>
    <row r="146" spans="1:8" x14ac:dyDescent="0.25">
      <c r="A146">
        <v>2025</v>
      </c>
      <c r="B146">
        <v>40</v>
      </c>
      <c r="C146" t="s">
        <v>13</v>
      </c>
      <c r="D146">
        <v>1</v>
      </c>
      <c r="E146">
        <v>1</v>
      </c>
      <c r="F146">
        <v>1</v>
      </c>
      <c r="G146" t="s">
        <v>9</v>
      </c>
      <c r="H146" t="s">
        <v>12</v>
      </c>
    </row>
    <row r="147" spans="1:8" x14ac:dyDescent="0.25">
      <c r="A147">
        <v>2025</v>
      </c>
      <c r="B147">
        <v>41</v>
      </c>
      <c r="C147" t="s">
        <v>13</v>
      </c>
      <c r="D147">
        <v>0</v>
      </c>
      <c r="E147">
        <v>0</v>
      </c>
      <c r="F147">
        <v>0</v>
      </c>
      <c r="G147" t="s">
        <v>9</v>
      </c>
      <c r="H147" t="s">
        <v>12</v>
      </c>
    </row>
    <row r="148" spans="1:8" x14ac:dyDescent="0.25">
      <c r="A148">
        <v>2025</v>
      </c>
      <c r="B148">
        <v>42</v>
      </c>
      <c r="C148" t="s">
        <v>13</v>
      </c>
      <c r="D148">
        <v>12</v>
      </c>
      <c r="E148">
        <v>1</v>
      </c>
      <c r="F148">
        <v>1</v>
      </c>
      <c r="G148" t="s">
        <v>9</v>
      </c>
      <c r="H148" t="s">
        <v>10</v>
      </c>
    </row>
    <row r="149" spans="1:8" x14ac:dyDescent="0.25">
      <c r="A149">
        <v>2025</v>
      </c>
      <c r="B149">
        <v>43</v>
      </c>
      <c r="C149" t="s">
        <v>13</v>
      </c>
      <c r="D149">
        <v>0</v>
      </c>
      <c r="E149">
        <v>0</v>
      </c>
      <c r="F149">
        <v>0</v>
      </c>
      <c r="G149" t="s">
        <v>9</v>
      </c>
      <c r="H149" t="s">
        <v>10</v>
      </c>
    </row>
    <row r="150" spans="1:8" x14ac:dyDescent="0.25">
      <c r="A150">
        <v>2025</v>
      </c>
      <c r="B150">
        <v>44</v>
      </c>
      <c r="C150" t="s">
        <v>13</v>
      </c>
      <c r="D150">
        <v>6</v>
      </c>
      <c r="E150">
        <v>1</v>
      </c>
      <c r="F150">
        <v>1</v>
      </c>
      <c r="G150" t="s">
        <v>9</v>
      </c>
      <c r="H150" t="s">
        <v>10</v>
      </c>
    </row>
    <row r="151" spans="1:8" x14ac:dyDescent="0.25">
      <c r="A151">
        <v>2025</v>
      </c>
      <c r="B151">
        <v>45</v>
      </c>
      <c r="C151" t="s">
        <v>13</v>
      </c>
      <c r="D151">
        <v>0</v>
      </c>
      <c r="E151">
        <v>0</v>
      </c>
      <c r="F151">
        <v>0</v>
      </c>
      <c r="G151" t="s">
        <v>9</v>
      </c>
      <c r="H151" t="s">
        <v>10</v>
      </c>
    </row>
    <row r="152" spans="1:8" x14ac:dyDescent="0.25">
      <c r="A152">
        <v>2025</v>
      </c>
      <c r="B152">
        <v>46</v>
      </c>
      <c r="C152" t="s">
        <v>13</v>
      </c>
      <c r="D152">
        <v>70</v>
      </c>
      <c r="E152">
        <v>6</v>
      </c>
      <c r="F152">
        <v>1</v>
      </c>
      <c r="G152" t="s">
        <v>9</v>
      </c>
      <c r="H152" t="s">
        <v>10</v>
      </c>
    </row>
    <row r="153" spans="1:8" x14ac:dyDescent="0.25">
      <c r="A153">
        <v>2025</v>
      </c>
      <c r="B153">
        <v>47</v>
      </c>
      <c r="C153" t="s">
        <v>13</v>
      </c>
      <c r="D153">
        <v>52</v>
      </c>
      <c r="E153">
        <v>2</v>
      </c>
      <c r="F153">
        <v>1</v>
      </c>
      <c r="G153" t="s">
        <v>9</v>
      </c>
      <c r="H153" t="s">
        <v>10</v>
      </c>
    </row>
    <row r="154" spans="1:8" x14ac:dyDescent="0.25">
      <c r="A154">
        <v>2025</v>
      </c>
      <c r="B154">
        <v>48</v>
      </c>
      <c r="C154" t="s">
        <v>13</v>
      </c>
      <c r="D154">
        <v>8</v>
      </c>
      <c r="E154">
        <v>2</v>
      </c>
      <c r="F154">
        <v>1</v>
      </c>
      <c r="G154" t="s">
        <v>9</v>
      </c>
      <c r="H154" t="s">
        <v>10</v>
      </c>
    </row>
    <row r="155" spans="1:8" x14ac:dyDescent="0.25">
      <c r="A155">
        <v>2025</v>
      </c>
      <c r="B155">
        <v>49</v>
      </c>
      <c r="C155" t="s">
        <v>13</v>
      </c>
      <c r="D155">
        <v>0</v>
      </c>
      <c r="E155">
        <v>0</v>
      </c>
      <c r="F155">
        <v>0</v>
      </c>
      <c r="G155" t="s">
        <v>9</v>
      </c>
      <c r="H155" t="s">
        <v>10</v>
      </c>
    </row>
    <row r="156" spans="1:8" x14ac:dyDescent="0.25">
      <c r="A156">
        <v>2025</v>
      </c>
      <c r="B156">
        <v>50</v>
      </c>
      <c r="C156" t="s">
        <v>13</v>
      </c>
      <c r="D156">
        <v>7</v>
      </c>
      <c r="E156">
        <v>2</v>
      </c>
      <c r="F156">
        <v>0.5</v>
      </c>
      <c r="G156" t="s">
        <v>11</v>
      </c>
      <c r="H156" t="s">
        <v>10</v>
      </c>
    </row>
    <row r="157" spans="1:8" x14ac:dyDescent="0.25">
      <c r="A157">
        <v>2025</v>
      </c>
      <c r="B157">
        <v>51</v>
      </c>
      <c r="C157" t="s">
        <v>13</v>
      </c>
      <c r="D157">
        <v>23</v>
      </c>
      <c r="E157">
        <v>4</v>
      </c>
      <c r="F157">
        <f>3/4</f>
        <v>0.75</v>
      </c>
      <c r="G157" t="s">
        <v>11</v>
      </c>
      <c r="H157" t="s">
        <v>10</v>
      </c>
    </row>
    <row r="158" spans="1:8" x14ac:dyDescent="0.25">
      <c r="A158">
        <v>2025</v>
      </c>
      <c r="B158">
        <v>52</v>
      </c>
      <c r="C158" t="s">
        <v>13</v>
      </c>
      <c r="D158">
        <v>0</v>
      </c>
      <c r="E158">
        <v>0</v>
      </c>
      <c r="F158">
        <v>0</v>
      </c>
      <c r="G158" t="s">
        <v>11</v>
      </c>
      <c r="H158" t="s">
        <v>10</v>
      </c>
    </row>
    <row r="159" spans="1:8" x14ac:dyDescent="0.25">
      <c r="A159">
        <v>2025</v>
      </c>
      <c r="B159">
        <v>53</v>
      </c>
      <c r="C159" t="s">
        <v>13</v>
      </c>
      <c r="D159">
        <v>24</v>
      </c>
      <c r="E159">
        <v>1</v>
      </c>
      <c r="F159">
        <v>1</v>
      </c>
      <c r="G159" t="s">
        <v>11</v>
      </c>
      <c r="H159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436BC-7E60-448F-8B8E-F536339F1D57}">
  <dimension ref="A1:H159"/>
  <sheetViews>
    <sheetView workbookViewId="0">
      <selection activeCell="K21" sqref="K21"/>
    </sheetView>
  </sheetViews>
  <sheetFormatPr baseColWidth="10"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2023</v>
      </c>
      <c r="B2">
        <v>1</v>
      </c>
      <c r="C2" t="s">
        <v>14</v>
      </c>
      <c r="D2">
        <v>12</v>
      </c>
      <c r="E2">
        <v>1</v>
      </c>
      <c r="F2">
        <v>1</v>
      </c>
      <c r="G2" t="s">
        <v>9</v>
      </c>
      <c r="H2" t="s">
        <v>10</v>
      </c>
    </row>
    <row r="3" spans="1:8" x14ac:dyDescent="0.25">
      <c r="A3">
        <v>2023</v>
      </c>
      <c r="B3">
        <v>2</v>
      </c>
      <c r="C3" t="s">
        <v>14</v>
      </c>
      <c r="D3">
        <v>0</v>
      </c>
      <c r="E3">
        <v>0</v>
      </c>
      <c r="F3">
        <v>0</v>
      </c>
      <c r="G3" t="s">
        <v>9</v>
      </c>
      <c r="H3" t="s">
        <v>10</v>
      </c>
    </row>
    <row r="4" spans="1:8" x14ac:dyDescent="0.25">
      <c r="A4">
        <v>2023</v>
      </c>
      <c r="B4">
        <v>3</v>
      </c>
      <c r="C4" t="s">
        <v>14</v>
      </c>
      <c r="D4">
        <v>12</v>
      </c>
      <c r="E4">
        <v>1</v>
      </c>
      <c r="F4">
        <v>1</v>
      </c>
      <c r="G4" t="s">
        <v>9</v>
      </c>
      <c r="H4" t="s">
        <v>10</v>
      </c>
    </row>
    <row r="5" spans="1:8" x14ac:dyDescent="0.25">
      <c r="A5">
        <v>2023</v>
      </c>
      <c r="B5">
        <v>4</v>
      </c>
      <c r="C5" t="s">
        <v>14</v>
      </c>
      <c r="D5">
        <v>0</v>
      </c>
      <c r="E5">
        <v>0</v>
      </c>
      <c r="F5">
        <v>0</v>
      </c>
      <c r="G5" t="s">
        <v>9</v>
      </c>
      <c r="H5" t="s">
        <v>10</v>
      </c>
    </row>
    <row r="6" spans="1:8" x14ac:dyDescent="0.25">
      <c r="A6">
        <v>2023</v>
      </c>
      <c r="B6">
        <v>5</v>
      </c>
      <c r="C6" t="s">
        <v>14</v>
      </c>
      <c r="D6">
        <v>4</v>
      </c>
      <c r="E6">
        <v>3</v>
      </c>
      <c r="F6">
        <v>1</v>
      </c>
      <c r="G6" t="s">
        <v>11</v>
      </c>
      <c r="H6" t="s">
        <v>10</v>
      </c>
    </row>
    <row r="7" spans="1:8" x14ac:dyDescent="0.25">
      <c r="A7">
        <v>2023</v>
      </c>
      <c r="B7">
        <v>6</v>
      </c>
      <c r="C7" t="s">
        <v>14</v>
      </c>
      <c r="D7">
        <v>1</v>
      </c>
      <c r="E7">
        <v>1</v>
      </c>
      <c r="F7">
        <v>1</v>
      </c>
      <c r="G7" t="s">
        <v>11</v>
      </c>
      <c r="H7" t="s">
        <v>10</v>
      </c>
    </row>
    <row r="8" spans="1:8" x14ac:dyDescent="0.25">
      <c r="A8">
        <v>2023</v>
      </c>
      <c r="B8">
        <v>7</v>
      </c>
      <c r="C8" t="s">
        <v>14</v>
      </c>
      <c r="D8">
        <v>2</v>
      </c>
      <c r="E8">
        <v>1</v>
      </c>
      <c r="F8">
        <v>1</v>
      </c>
      <c r="G8" t="s">
        <v>11</v>
      </c>
      <c r="H8" t="s">
        <v>10</v>
      </c>
    </row>
    <row r="9" spans="1:8" x14ac:dyDescent="0.25">
      <c r="A9">
        <v>2023</v>
      </c>
      <c r="B9">
        <v>8</v>
      </c>
      <c r="C9" t="s">
        <v>14</v>
      </c>
      <c r="D9">
        <v>12</v>
      </c>
      <c r="E9">
        <v>1</v>
      </c>
      <c r="F9">
        <v>1</v>
      </c>
      <c r="G9" t="s">
        <v>11</v>
      </c>
      <c r="H9" t="s">
        <v>10</v>
      </c>
    </row>
    <row r="10" spans="1:8" x14ac:dyDescent="0.25">
      <c r="A10">
        <v>2023</v>
      </c>
      <c r="B10">
        <v>9</v>
      </c>
      <c r="C10" t="s">
        <v>14</v>
      </c>
      <c r="D10">
        <v>7</v>
      </c>
      <c r="E10">
        <v>2</v>
      </c>
      <c r="F10">
        <v>0.5</v>
      </c>
      <c r="G10" t="s">
        <v>9</v>
      </c>
      <c r="H10" t="s">
        <v>10</v>
      </c>
    </row>
    <row r="11" spans="1:8" x14ac:dyDescent="0.25">
      <c r="A11">
        <v>2023</v>
      </c>
      <c r="B11">
        <v>10</v>
      </c>
      <c r="C11" t="s">
        <v>14</v>
      </c>
      <c r="D11">
        <v>2</v>
      </c>
      <c r="E11">
        <v>1</v>
      </c>
      <c r="F11">
        <v>1</v>
      </c>
      <c r="G11" t="s">
        <v>9</v>
      </c>
      <c r="H11" t="s">
        <v>10</v>
      </c>
    </row>
    <row r="12" spans="1:8" x14ac:dyDescent="0.25">
      <c r="A12">
        <v>2023</v>
      </c>
      <c r="B12">
        <v>11</v>
      </c>
      <c r="C12" t="s">
        <v>14</v>
      </c>
      <c r="D12">
        <v>5</v>
      </c>
      <c r="E12">
        <v>2</v>
      </c>
      <c r="F12">
        <v>1</v>
      </c>
      <c r="G12" t="s">
        <v>9</v>
      </c>
      <c r="H12" t="s">
        <v>10</v>
      </c>
    </row>
    <row r="13" spans="1:8" x14ac:dyDescent="0.25">
      <c r="A13">
        <v>2023</v>
      </c>
      <c r="B13">
        <v>12</v>
      </c>
      <c r="C13" t="s">
        <v>14</v>
      </c>
      <c r="D13">
        <v>3</v>
      </c>
      <c r="E13">
        <v>2</v>
      </c>
      <c r="F13">
        <v>1</v>
      </c>
      <c r="G13" t="s">
        <v>9</v>
      </c>
      <c r="H13" t="s">
        <v>10</v>
      </c>
    </row>
    <row r="14" spans="1:8" x14ac:dyDescent="0.25">
      <c r="A14">
        <v>2023</v>
      </c>
      <c r="B14">
        <v>13</v>
      </c>
      <c r="C14" t="s">
        <v>14</v>
      </c>
      <c r="D14">
        <v>2</v>
      </c>
      <c r="E14">
        <v>1</v>
      </c>
      <c r="F14">
        <v>1</v>
      </c>
      <c r="G14" t="s">
        <v>9</v>
      </c>
      <c r="H14" t="s">
        <v>10</v>
      </c>
    </row>
    <row r="15" spans="1:8" x14ac:dyDescent="0.25">
      <c r="A15">
        <v>2023</v>
      </c>
      <c r="B15">
        <v>14</v>
      </c>
      <c r="C15" t="s">
        <v>14</v>
      </c>
      <c r="D15">
        <v>3</v>
      </c>
      <c r="E15">
        <v>3</v>
      </c>
      <c r="F15">
        <v>1</v>
      </c>
      <c r="G15" t="s">
        <v>11</v>
      </c>
      <c r="H15" t="s">
        <v>12</v>
      </c>
    </row>
    <row r="16" spans="1:8" x14ac:dyDescent="0.25">
      <c r="A16">
        <v>2023</v>
      </c>
      <c r="B16">
        <v>15</v>
      </c>
      <c r="C16" t="s">
        <v>14</v>
      </c>
      <c r="D16">
        <v>5</v>
      </c>
      <c r="E16">
        <v>2</v>
      </c>
      <c r="F16">
        <v>1</v>
      </c>
      <c r="G16" t="s">
        <v>9</v>
      </c>
      <c r="H16" t="s">
        <v>12</v>
      </c>
    </row>
    <row r="17" spans="1:8" x14ac:dyDescent="0.25">
      <c r="A17">
        <v>2023</v>
      </c>
      <c r="B17">
        <v>16</v>
      </c>
      <c r="C17" t="s">
        <v>14</v>
      </c>
      <c r="D17">
        <v>25</v>
      </c>
      <c r="E17">
        <v>4</v>
      </c>
      <c r="F17">
        <v>0.75</v>
      </c>
      <c r="G17" t="s">
        <v>9</v>
      </c>
      <c r="H17" t="s">
        <v>12</v>
      </c>
    </row>
    <row r="18" spans="1:8" x14ac:dyDescent="0.25">
      <c r="A18">
        <v>2023</v>
      </c>
      <c r="B18">
        <v>17</v>
      </c>
      <c r="C18" t="s">
        <v>14</v>
      </c>
      <c r="D18">
        <v>6</v>
      </c>
      <c r="E18">
        <v>1</v>
      </c>
      <c r="F18">
        <v>1</v>
      </c>
      <c r="G18" t="s">
        <v>9</v>
      </c>
      <c r="H18" t="s">
        <v>12</v>
      </c>
    </row>
    <row r="19" spans="1:8" x14ac:dyDescent="0.25">
      <c r="A19">
        <v>2023</v>
      </c>
      <c r="B19">
        <v>18</v>
      </c>
      <c r="C19" t="s">
        <v>14</v>
      </c>
      <c r="D19">
        <v>3</v>
      </c>
      <c r="E19">
        <v>1</v>
      </c>
      <c r="F19">
        <v>1</v>
      </c>
      <c r="G19" t="s">
        <v>9</v>
      </c>
      <c r="H19" t="s">
        <v>12</v>
      </c>
    </row>
    <row r="20" spans="1:8" x14ac:dyDescent="0.25">
      <c r="A20">
        <v>2023</v>
      </c>
      <c r="B20">
        <v>19</v>
      </c>
      <c r="C20" t="s">
        <v>14</v>
      </c>
      <c r="D20">
        <v>10</v>
      </c>
      <c r="E20">
        <v>4</v>
      </c>
      <c r="F20">
        <v>1</v>
      </c>
      <c r="G20" t="s">
        <v>11</v>
      </c>
      <c r="H20" t="s">
        <v>12</v>
      </c>
    </row>
    <row r="21" spans="1:8" x14ac:dyDescent="0.25">
      <c r="A21">
        <v>2023</v>
      </c>
      <c r="B21">
        <v>20</v>
      </c>
      <c r="C21" t="s">
        <v>14</v>
      </c>
      <c r="D21">
        <v>1</v>
      </c>
      <c r="E21">
        <v>1</v>
      </c>
      <c r="F21">
        <v>1</v>
      </c>
      <c r="G21" t="s">
        <v>9</v>
      </c>
      <c r="H21" t="s">
        <v>12</v>
      </c>
    </row>
    <row r="22" spans="1:8" x14ac:dyDescent="0.25">
      <c r="A22">
        <v>2023</v>
      </c>
      <c r="B22">
        <v>21</v>
      </c>
      <c r="C22" t="s">
        <v>14</v>
      </c>
      <c r="D22">
        <v>14</v>
      </c>
      <c r="E22">
        <v>2</v>
      </c>
      <c r="F22">
        <v>1</v>
      </c>
      <c r="G22" t="s">
        <v>9</v>
      </c>
      <c r="H22" t="s">
        <v>12</v>
      </c>
    </row>
    <row r="23" spans="1:8" x14ac:dyDescent="0.25">
      <c r="A23">
        <v>2023</v>
      </c>
      <c r="B23">
        <v>22</v>
      </c>
      <c r="C23" t="s">
        <v>14</v>
      </c>
      <c r="D23">
        <v>10</v>
      </c>
      <c r="E23">
        <v>4</v>
      </c>
      <c r="F23">
        <v>1</v>
      </c>
      <c r="G23" t="s">
        <v>9</v>
      </c>
      <c r="H23" t="s">
        <v>12</v>
      </c>
    </row>
    <row r="24" spans="1:8" x14ac:dyDescent="0.25">
      <c r="A24">
        <v>2023</v>
      </c>
      <c r="B24">
        <v>23</v>
      </c>
      <c r="C24" t="s">
        <v>14</v>
      </c>
      <c r="D24">
        <v>2</v>
      </c>
      <c r="E24">
        <v>1</v>
      </c>
      <c r="F24">
        <v>1</v>
      </c>
      <c r="G24" t="s">
        <v>9</v>
      </c>
      <c r="H24" t="s">
        <v>12</v>
      </c>
    </row>
    <row r="25" spans="1:8" x14ac:dyDescent="0.25">
      <c r="A25">
        <v>2023</v>
      </c>
      <c r="B25">
        <v>24</v>
      </c>
      <c r="C25" t="s">
        <v>14</v>
      </c>
      <c r="D25">
        <v>6</v>
      </c>
      <c r="E25">
        <v>2</v>
      </c>
      <c r="F25">
        <v>1</v>
      </c>
      <c r="G25" t="s">
        <v>11</v>
      </c>
      <c r="H25" t="s">
        <v>12</v>
      </c>
    </row>
    <row r="26" spans="1:8" x14ac:dyDescent="0.25">
      <c r="A26">
        <v>2023</v>
      </c>
      <c r="B26">
        <v>25</v>
      </c>
      <c r="C26" t="s">
        <v>14</v>
      </c>
      <c r="D26">
        <v>0</v>
      </c>
      <c r="E26">
        <v>0</v>
      </c>
      <c r="F26">
        <v>0</v>
      </c>
      <c r="G26" t="s">
        <v>9</v>
      </c>
      <c r="H26" t="s">
        <v>12</v>
      </c>
    </row>
    <row r="27" spans="1:8" x14ac:dyDescent="0.25">
      <c r="A27">
        <v>2023</v>
      </c>
      <c r="B27">
        <v>26</v>
      </c>
      <c r="C27" t="s">
        <v>14</v>
      </c>
      <c r="D27">
        <v>6</v>
      </c>
      <c r="E27">
        <v>3</v>
      </c>
      <c r="F27">
        <v>1</v>
      </c>
      <c r="G27" t="s">
        <v>9</v>
      </c>
      <c r="H27" t="s">
        <v>12</v>
      </c>
    </row>
    <row r="28" spans="1:8" x14ac:dyDescent="0.25">
      <c r="A28">
        <v>2023</v>
      </c>
      <c r="B28">
        <v>27</v>
      </c>
      <c r="C28" t="s">
        <v>14</v>
      </c>
      <c r="D28">
        <v>20</v>
      </c>
      <c r="E28">
        <v>4</v>
      </c>
      <c r="F28">
        <v>0.75</v>
      </c>
      <c r="G28" t="s">
        <v>9</v>
      </c>
      <c r="H28" t="s">
        <v>12</v>
      </c>
    </row>
    <row r="29" spans="1:8" x14ac:dyDescent="0.25">
      <c r="A29">
        <v>2023</v>
      </c>
      <c r="B29">
        <v>28</v>
      </c>
      <c r="C29" t="s">
        <v>14</v>
      </c>
      <c r="D29">
        <v>4</v>
      </c>
      <c r="E29">
        <v>2</v>
      </c>
      <c r="F29">
        <v>0.5</v>
      </c>
      <c r="G29" t="s">
        <v>9</v>
      </c>
      <c r="H29" t="s">
        <v>12</v>
      </c>
    </row>
    <row r="30" spans="1:8" x14ac:dyDescent="0.25">
      <c r="A30">
        <v>2023</v>
      </c>
      <c r="B30">
        <v>29</v>
      </c>
      <c r="C30" t="s">
        <v>14</v>
      </c>
      <c r="D30">
        <v>7</v>
      </c>
      <c r="E30">
        <v>2</v>
      </c>
      <c r="F30">
        <v>1</v>
      </c>
      <c r="G30" t="s">
        <v>11</v>
      </c>
      <c r="H30" t="s">
        <v>12</v>
      </c>
    </row>
    <row r="31" spans="1:8" x14ac:dyDescent="0.25">
      <c r="A31">
        <v>2023</v>
      </c>
      <c r="B31">
        <v>30</v>
      </c>
      <c r="C31" t="s">
        <v>14</v>
      </c>
      <c r="D31">
        <v>20</v>
      </c>
      <c r="E31">
        <v>6</v>
      </c>
      <c r="F31">
        <v>1</v>
      </c>
      <c r="G31" t="s">
        <v>11</v>
      </c>
      <c r="H31" t="s">
        <v>12</v>
      </c>
    </row>
    <row r="32" spans="1:8" x14ac:dyDescent="0.25">
      <c r="A32">
        <v>2023</v>
      </c>
      <c r="B32">
        <v>31</v>
      </c>
      <c r="C32" t="s">
        <v>14</v>
      </c>
      <c r="D32">
        <v>14</v>
      </c>
      <c r="E32">
        <v>3</v>
      </c>
      <c r="F32">
        <v>1</v>
      </c>
      <c r="G32" t="s">
        <v>11</v>
      </c>
      <c r="H32" t="s">
        <v>12</v>
      </c>
    </row>
    <row r="33" spans="1:8" x14ac:dyDescent="0.25">
      <c r="A33">
        <v>2023</v>
      </c>
      <c r="B33">
        <v>32</v>
      </c>
      <c r="C33" t="s">
        <v>14</v>
      </c>
      <c r="D33">
        <v>13</v>
      </c>
      <c r="E33">
        <v>3</v>
      </c>
      <c r="F33">
        <v>1</v>
      </c>
      <c r="G33" t="s">
        <v>9</v>
      </c>
      <c r="H33" t="s">
        <v>12</v>
      </c>
    </row>
    <row r="34" spans="1:8" x14ac:dyDescent="0.25">
      <c r="A34">
        <v>2023</v>
      </c>
      <c r="B34">
        <v>33</v>
      </c>
      <c r="C34" t="s">
        <v>14</v>
      </c>
      <c r="D34">
        <v>16</v>
      </c>
      <c r="E34">
        <v>8</v>
      </c>
      <c r="F34">
        <f>7/8</f>
        <v>0.875</v>
      </c>
      <c r="G34" t="s">
        <v>9</v>
      </c>
      <c r="H34" t="s">
        <v>12</v>
      </c>
    </row>
    <row r="35" spans="1:8" x14ac:dyDescent="0.25">
      <c r="A35">
        <v>2023</v>
      </c>
      <c r="B35">
        <v>34</v>
      </c>
      <c r="C35" t="s">
        <v>14</v>
      </c>
      <c r="D35">
        <v>20</v>
      </c>
      <c r="E35">
        <v>4</v>
      </c>
      <c r="F35">
        <v>1</v>
      </c>
      <c r="G35" t="s">
        <v>9</v>
      </c>
      <c r="H35" t="s">
        <v>12</v>
      </c>
    </row>
    <row r="36" spans="1:8" x14ac:dyDescent="0.25">
      <c r="A36">
        <v>2023</v>
      </c>
      <c r="B36">
        <v>35</v>
      </c>
      <c r="C36" t="s">
        <v>14</v>
      </c>
      <c r="D36">
        <v>3</v>
      </c>
      <c r="E36">
        <v>2</v>
      </c>
      <c r="F36">
        <v>0.5</v>
      </c>
      <c r="G36" t="s">
        <v>9</v>
      </c>
      <c r="H36" t="s">
        <v>12</v>
      </c>
    </row>
    <row r="37" spans="1:8" x14ac:dyDescent="0.25">
      <c r="A37">
        <v>2023</v>
      </c>
      <c r="B37">
        <v>36</v>
      </c>
      <c r="C37" t="s">
        <v>14</v>
      </c>
      <c r="D37">
        <v>9</v>
      </c>
      <c r="E37">
        <v>2</v>
      </c>
      <c r="F37">
        <v>1</v>
      </c>
      <c r="G37" t="s">
        <v>9</v>
      </c>
      <c r="H37" t="s">
        <v>12</v>
      </c>
    </row>
    <row r="38" spans="1:8" x14ac:dyDescent="0.25">
      <c r="A38">
        <v>2023</v>
      </c>
      <c r="B38">
        <v>37</v>
      </c>
      <c r="C38" t="s">
        <v>14</v>
      </c>
      <c r="D38">
        <v>27</v>
      </c>
      <c r="E38">
        <v>4</v>
      </c>
      <c r="F38">
        <v>0.75</v>
      </c>
      <c r="G38" t="s">
        <v>9</v>
      </c>
      <c r="H38" t="s">
        <v>12</v>
      </c>
    </row>
    <row r="39" spans="1:8" x14ac:dyDescent="0.25">
      <c r="A39">
        <v>2023</v>
      </c>
      <c r="B39">
        <v>38</v>
      </c>
      <c r="C39" t="s">
        <v>14</v>
      </c>
      <c r="D39">
        <v>20</v>
      </c>
      <c r="E39">
        <v>3</v>
      </c>
      <c r="F39">
        <v>1</v>
      </c>
      <c r="G39" t="s">
        <v>9</v>
      </c>
      <c r="H39" t="s">
        <v>12</v>
      </c>
    </row>
    <row r="40" spans="1:8" x14ac:dyDescent="0.25">
      <c r="A40">
        <v>2023</v>
      </c>
      <c r="B40">
        <v>39</v>
      </c>
      <c r="C40" t="s">
        <v>14</v>
      </c>
      <c r="D40">
        <v>9</v>
      </c>
      <c r="E40">
        <v>1</v>
      </c>
      <c r="F40">
        <v>1</v>
      </c>
      <c r="G40" t="s">
        <v>9</v>
      </c>
      <c r="H40" t="s">
        <v>12</v>
      </c>
    </row>
    <row r="41" spans="1:8" x14ac:dyDescent="0.25">
      <c r="A41">
        <v>2023</v>
      </c>
      <c r="B41">
        <v>40</v>
      </c>
      <c r="C41" t="s">
        <v>14</v>
      </c>
      <c r="D41">
        <v>2</v>
      </c>
      <c r="E41">
        <v>1</v>
      </c>
      <c r="F41">
        <v>1</v>
      </c>
      <c r="G41" t="s">
        <v>9</v>
      </c>
      <c r="H41" t="s">
        <v>12</v>
      </c>
    </row>
    <row r="42" spans="1:8" x14ac:dyDescent="0.25">
      <c r="A42">
        <v>2023</v>
      </c>
      <c r="B42">
        <v>41</v>
      </c>
      <c r="C42" t="s">
        <v>14</v>
      </c>
      <c r="D42">
        <v>10</v>
      </c>
      <c r="E42">
        <v>4</v>
      </c>
      <c r="F42">
        <v>1</v>
      </c>
      <c r="G42" t="s">
        <v>9</v>
      </c>
      <c r="H42" t="s">
        <v>12</v>
      </c>
    </row>
    <row r="43" spans="1:8" x14ac:dyDescent="0.25">
      <c r="A43">
        <v>2023</v>
      </c>
      <c r="B43">
        <v>42</v>
      </c>
      <c r="C43" t="s">
        <v>14</v>
      </c>
      <c r="D43">
        <v>6</v>
      </c>
      <c r="E43">
        <v>3</v>
      </c>
      <c r="F43">
        <v>1</v>
      </c>
      <c r="G43" t="s">
        <v>9</v>
      </c>
      <c r="H43" t="s">
        <v>12</v>
      </c>
    </row>
    <row r="44" spans="1:8" x14ac:dyDescent="0.25">
      <c r="A44">
        <v>2023</v>
      </c>
      <c r="B44">
        <v>43</v>
      </c>
      <c r="C44" t="s">
        <v>14</v>
      </c>
      <c r="D44">
        <v>1</v>
      </c>
      <c r="E44">
        <v>1</v>
      </c>
      <c r="F44">
        <v>1</v>
      </c>
      <c r="G44" t="s">
        <v>9</v>
      </c>
      <c r="H44" t="s">
        <v>12</v>
      </c>
    </row>
    <row r="45" spans="1:8" x14ac:dyDescent="0.25">
      <c r="A45">
        <v>2023</v>
      </c>
      <c r="B45">
        <v>44</v>
      </c>
      <c r="C45" t="s">
        <v>14</v>
      </c>
      <c r="D45">
        <v>22</v>
      </c>
      <c r="E45">
        <v>3</v>
      </c>
      <c r="F45">
        <v>1</v>
      </c>
      <c r="G45" t="s">
        <v>9</v>
      </c>
      <c r="H45" t="s">
        <v>12</v>
      </c>
    </row>
    <row r="46" spans="1:8" x14ac:dyDescent="0.25">
      <c r="A46">
        <v>2023</v>
      </c>
      <c r="B46">
        <v>45</v>
      </c>
      <c r="C46" t="s">
        <v>14</v>
      </c>
      <c r="D46">
        <v>1</v>
      </c>
      <c r="E46">
        <v>1</v>
      </c>
      <c r="F46">
        <v>0</v>
      </c>
      <c r="G46" t="s">
        <v>9</v>
      </c>
      <c r="H46" t="s">
        <v>10</v>
      </c>
    </row>
    <row r="47" spans="1:8" x14ac:dyDescent="0.25">
      <c r="A47">
        <v>2023</v>
      </c>
      <c r="B47">
        <v>46</v>
      </c>
      <c r="C47" t="s">
        <v>14</v>
      </c>
      <c r="D47">
        <v>4</v>
      </c>
      <c r="E47">
        <v>1</v>
      </c>
      <c r="F47">
        <v>1</v>
      </c>
      <c r="G47" t="s">
        <v>9</v>
      </c>
      <c r="H47" t="s">
        <v>10</v>
      </c>
    </row>
    <row r="48" spans="1:8" x14ac:dyDescent="0.25">
      <c r="A48">
        <v>2023</v>
      </c>
      <c r="B48">
        <v>47</v>
      </c>
      <c r="C48" t="s">
        <v>14</v>
      </c>
      <c r="D48">
        <v>15</v>
      </c>
      <c r="E48">
        <v>2</v>
      </c>
      <c r="F48">
        <v>1</v>
      </c>
      <c r="G48" t="s">
        <v>9</v>
      </c>
      <c r="H48" t="s">
        <v>10</v>
      </c>
    </row>
    <row r="49" spans="1:8" x14ac:dyDescent="0.25">
      <c r="A49">
        <v>2023</v>
      </c>
      <c r="B49">
        <v>48</v>
      </c>
      <c r="C49" t="s">
        <v>14</v>
      </c>
      <c r="D49">
        <v>5</v>
      </c>
      <c r="E49">
        <v>3</v>
      </c>
      <c r="F49">
        <f>2/3</f>
        <v>0.66666666666666663</v>
      </c>
      <c r="G49" t="s">
        <v>9</v>
      </c>
      <c r="H49" t="s">
        <v>10</v>
      </c>
    </row>
    <row r="50" spans="1:8" x14ac:dyDescent="0.25">
      <c r="A50">
        <v>2023</v>
      </c>
      <c r="B50">
        <v>49</v>
      </c>
      <c r="C50" t="s">
        <v>14</v>
      </c>
      <c r="D50">
        <v>14</v>
      </c>
      <c r="E50">
        <v>2</v>
      </c>
      <c r="F50">
        <v>1</v>
      </c>
      <c r="G50" t="s">
        <v>9</v>
      </c>
      <c r="H50" t="s">
        <v>10</v>
      </c>
    </row>
    <row r="51" spans="1:8" x14ac:dyDescent="0.25">
      <c r="A51">
        <v>2023</v>
      </c>
      <c r="B51">
        <v>50</v>
      </c>
      <c r="C51" t="s">
        <v>14</v>
      </c>
      <c r="D51">
        <v>12</v>
      </c>
      <c r="E51">
        <v>3</v>
      </c>
      <c r="F51">
        <f>2/3</f>
        <v>0.66666666666666663</v>
      </c>
      <c r="G51" t="s">
        <v>11</v>
      </c>
      <c r="H51" t="s">
        <v>10</v>
      </c>
    </row>
    <row r="52" spans="1:8" x14ac:dyDescent="0.25">
      <c r="A52">
        <v>2023</v>
      </c>
      <c r="B52">
        <v>51</v>
      </c>
      <c r="C52" t="s">
        <v>14</v>
      </c>
      <c r="D52">
        <v>1</v>
      </c>
      <c r="E52">
        <v>1</v>
      </c>
      <c r="F52">
        <v>1</v>
      </c>
      <c r="G52" t="s">
        <v>11</v>
      </c>
      <c r="H52" t="s">
        <v>10</v>
      </c>
    </row>
    <row r="53" spans="1:8" x14ac:dyDescent="0.25">
      <c r="A53">
        <v>2023</v>
      </c>
      <c r="B53">
        <v>52</v>
      </c>
      <c r="C53" t="s">
        <v>14</v>
      </c>
      <c r="D53">
        <v>28</v>
      </c>
      <c r="E53">
        <v>3</v>
      </c>
      <c r="F53">
        <v>1</v>
      </c>
      <c r="G53" t="s">
        <v>11</v>
      </c>
      <c r="H53" t="s">
        <v>10</v>
      </c>
    </row>
    <row r="54" spans="1:8" x14ac:dyDescent="0.25">
      <c r="A54">
        <v>2024</v>
      </c>
      <c r="B54">
        <v>1</v>
      </c>
      <c r="C54" t="s">
        <v>14</v>
      </c>
      <c r="D54">
        <v>4</v>
      </c>
      <c r="E54">
        <v>2</v>
      </c>
      <c r="F54">
        <v>1</v>
      </c>
      <c r="G54" t="s">
        <v>9</v>
      </c>
      <c r="H54" t="s">
        <v>10</v>
      </c>
    </row>
    <row r="55" spans="1:8" x14ac:dyDescent="0.25">
      <c r="A55">
        <v>2024</v>
      </c>
      <c r="B55">
        <v>2</v>
      </c>
      <c r="C55" t="s">
        <v>14</v>
      </c>
      <c r="D55">
        <v>2</v>
      </c>
      <c r="E55">
        <v>1</v>
      </c>
      <c r="F55">
        <v>1</v>
      </c>
      <c r="G55" t="s">
        <v>9</v>
      </c>
      <c r="H55" t="s">
        <v>10</v>
      </c>
    </row>
    <row r="56" spans="1:8" x14ac:dyDescent="0.25">
      <c r="A56">
        <v>2024</v>
      </c>
      <c r="B56">
        <v>3</v>
      </c>
      <c r="C56" t="s">
        <v>14</v>
      </c>
      <c r="D56">
        <v>3</v>
      </c>
      <c r="E56">
        <v>1</v>
      </c>
      <c r="F56">
        <v>1</v>
      </c>
      <c r="G56" t="s">
        <v>9</v>
      </c>
      <c r="H56" t="s">
        <v>10</v>
      </c>
    </row>
    <row r="57" spans="1:8" x14ac:dyDescent="0.25">
      <c r="A57">
        <v>2024</v>
      </c>
      <c r="B57">
        <v>4</v>
      </c>
      <c r="C57" t="s">
        <v>14</v>
      </c>
      <c r="D57">
        <v>6</v>
      </c>
      <c r="E57">
        <v>3</v>
      </c>
      <c r="F57">
        <v>1</v>
      </c>
      <c r="G57" t="s">
        <v>9</v>
      </c>
      <c r="H57" t="s">
        <v>10</v>
      </c>
    </row>
    <row r="58" spans="1:8" x14ac:dyDescent="0.25">
      <c r="A58">
        <v>2024</v>
      </c>
      <c r="B58">
        <v>5</v>
      </c>
      <c r="C58" t="s">
        <v>14</v>
      </c>
      <c r="D58">
        <v>7</v>
      </c>
      <c r="E58">
        <v>5</v>
      </c>
      <c r="F58">
        <f>4/5</f>
        <v>0.8</v>
      </c>
      <c r="G58" t="s">
        <v>9</v>
      </c>
      <c r="H58" t="s">
        <v>10</v>
      </c>
    </row>
    <row r="59" spans="1:8" x14ac:dyDescent="0.25">
      <c r="A59">
        <v>2024</v>
      </c>
      <c r="B59">
        <v>6</v>
      </c>
      <c r="C59" t="s">
        <v>14</v>
      </c>
      <c r="D59">
        <v>13</v>
      </c>
      <c r="E59">
        <v>2</v>
      </c>
      <c r="F59">
        <v>1</v>
      </c>
      <c r="G59" t="s">
        <v>9</v>
      </c>
      <c r="H59" t="s">
        <v>10</v>
      </c>
    </row>
    <row r="60" spans="1:8" x14ac:dyDescent="0.25">
      <c r="A60">
        <v>2024</v>
      </c>
      <c r="B60">
        <v>7</v>
      </c>
      <c r="C60" t="s">
        <v>14</v>
      </c>
      <c r="D60">
        <v>38</v>
      </c>
      <c r="E60">
        <v>9</v>
      </c>
      <c r="F60">
        <v>1</v>
      </c>
      <c r="G60" t="s">
        <v>11</v>
      </c>
      <c r="H60" t="s">
        <v>10</v>
      </c>
    </row>
    <row r="61" spans="1:8" x14ac:dyDescent="0.25">
      <c r="A61">
        <v>2024</v>
      </c>
      <c r="B61">
        <v>8</v>
      </c>
      <c r="C61" t="s">
        <v>14</v>
      </c>
      <c r="D61">
        <v>1</v>
      </c>
      <c r="E61">
        <v>1</v>
      </c>
      <c r="F61">
        <v>1</v>
      </c>
      <c r="G61" t="s">
        <v>9</v>
      </c>
      <c r="H61" t="s">
        <v>10</v>
      </c>
    </row>
    <row r="62" spans="1:8" x14ac:dyDescent="0.25">
      <c r="A62">
        <v>2024</v>
      </c>
      <c r="B62">
        <v>9</v>
      </c>
      <c r="C62" t="s">
        <v>14</v>
      </c>
      <c r="D62">
        <v>10</v>
      </c>
      <c r="E62">
        <v>7</v>
      </c>
      <c r="F62">
        <f>5/7</f>
        <v>0.7142857142857143</v>
      </c>
      <c r="G62" t="s">
        <v>9</v>
      </c>
      <c r="H62" t="s">
        <v>10</v>
      </c>
    </row>
    <row r="63" spans="1:8" x14ac:dyDescent="0.25">
      <c r="A63">
        <v>2024</v>
      </c>
      <c r="B63">
        <v>10</v>
      </c>
      <c r="C63" t="s">
        <v>14</v>
      </c>
      <c r="D63">
        <v>10</v>
      </c>
      <c r="E63">
        <v>3</v>
      </c>
      <c r="F63">
        <v>1</v>
      </c>
      <c r="G63" t="s">
        <v>9</v>
      </c>
      <c r="H63" t="s">
        <v>10</v>
      </c>
    </row>
    <row r="64" spans="1:8" x14ac:dyDescent="0.25">
      <c r="A64">
        <v>2024</v>
      </c>
      <c r="B64">
        <v>11</v>
      </c>
      <c r="C64" t="s">
        <v>14</v>
      </c>
      <c r="D64">
        <v>5</v>
      </c>
      <c r="E64">
        <v>3</v>
      </c>
      <c r="F64">
        <v>1</v>
      </c>
      <c r="G64" t="s">
        <v>9</v>
      </c>
      <c r="H64" t="s">
        <v>10</v>
      </c>
    </row>
    <row r="65" spans="1:8" x14ac:dyDescent="0.25">
      <c r="A65">
        <v>2024</v>
      </c>
      <c r="B65">
        <v>12</v>
      </c>
      <c r="C65" t="s">
        <v>14</v>
      </c>
      <c r="D65">
        <v>3</v>
      </c>
      <c r="E65">
        <v>1</v>
      </c>
      <c r="F65">
        <v>1</v>
      </c>
      <c r="G65" t="s">
        <v>9</v>
      </c>
      <c r="H65" t="s">
        <v>10</v>
      </c>
    </row>
    <row r="66" spans="1:8" x14ac:dyDescent="0.25">
      <c r="A66">
        <v>2024</v>
      </c>
      <c r="B66">
        <v>13</v>
      </c>
      <c r="C66" t="s">
        <v>14</v>
      </c>
      <c r="D66">
        <v>14</v>
      </c>
      <c r="E66">
        <v>4</v>
      </c>
      <c r="F66">
        <v>1</v>
      </c>
      <c r="G66" t="s">
        <v>11</v>
      </c>
      <c r="H66" t="s">
        <v>10</v>
      </c>
    </row>
    <row r="67" spans="1:8" x14ac:dyDescent="0.25">
      <c r="A67">
        <v>2024</v>
      </c>
      <c r="B67">
        <v>14</v>
      </c>
      <c r="C67" t="s">
        <v>14</v>
      </c>
      <c r="D67">
        <v>2</v>
      </c>
      <c r="E67">
        <v>1</v>
      </c>
      <c r="F67">
        <v>0</v>
      </c>
      <c r="G67" t="s">
        <v>9</v>
      </c>
      <c r="H67" t="s">
        <v>10</v>
      </c>
    </row>
    <row r="68" spans="1:8" x14ac:dyDescent="0.25">
      <c r="A68">
        <v>2024</v>
      </c>
      <c r="B68">
        <v>15</v>
      </c>
      <c r="C68" t="s">
        <v>14</v>
      </c>
      <c r="D68">
        <v>9</v>
      </c>
      <c r="E68">
        <v>4</v>
      </c>
      <c r="F68">
        <v>1</v>
      </c>
      <c r="G68" t="s">
        <v>9</v>
      </c>
      <c r="H68" t="s">
        <v>10</v>
      </c>
    </row>
    <row r="69" spans="1:8" x14ac:dyDescent="0.25">
      <c r="A69">
        <v>2024</v>
      </c>
      <c r="B69">
        <v>16</v>
      </c>
      <c r="C69" t="s">
        <v>14</v>
      </c>
      <c r="D69">
        <v>4</v>
      </c>
      <c r="E69">
        <v>2</v>
      </c>
      <c r="F69">
        <v>1</v>
      </c>
      <c r="G69" t="s">
        <v>11</v>
      </c>
      <c r="H69" t="s">
        <v>10</v>
      </c>
    </row>
    <row r="70" spans="1:8" x14ac:dyDescent="0.25">
      <c r="A70">
        <v>2024</v>
      </c>
      <c r="B70">
        <v>17</v>
      </c>
      <c r="C70" t="s">
        <v>14</v>
      </c>
      <c r="D70">
        <v>23</v>
      </c>
      <c r="E70">
        <v>6</v>
      </c>
      <c r="F70">
        <v>1</v>
      </c>
      <c r="G70" t="s">
        <v>9</v>
      </c>
      <c r="H70" t="s">
        <v>12</v>
      </c>
    </row>
    <row r="71" spans="1:8" x14ac:dyDescent="0.25">
      <c r="A71">
        <v>2024</v>
      </c>
      <c r="B71">
        <v>18</v>
      </c>
      <c r="C71" t="s">
        <v>14</v>
      </c>
      <c r="D71">
        <v>2</v>
      </c>
      <c r="E71">
        <v>1</v>
      </c>
      <c r="F71">
        <v>1</v>
      </c>
      <c r="G71" t="s">
        <v>9</v>
      </c>
      <c r="H71" t="s">
        <v>12</v>
      </c>
    </row>
    <row r="72" spans="1:8" x14ac:dyDescent="0.25">
      <c r="A72">
        <v>2024</v>
      </c>
      <c r="B72">
        <v>19</v>
      </c>
      <c r="C72" t="s">
        <v>14</v>
      </c>
      <c r="D72">
        <v>1</v>
      </c>
      <c r="E72">
        <v>1</v>
      </c>
      <c r="F72">
        <v>1</v>
      </c>
      <c r="G72" t="s">
        <v>11</v>
      </c>
      <c r="H72" t="s">
        <v>12</v>
      </c>
    </row>
    <row r="73" spans="1:8" x14ac:dyDescent="0.25">
      <c r="A73">
        <v>2024</v>
      </c>
      <c r="B73">
        <v>20</v>
      </c>
      <c r="C73" t="s">
        <v>14</v>
      </c>
      <c r="D73">
        <v>21</v>
      </c>
      <c r="E73">
        <v>5</v>
      </c>
      <c r="F73">
        <v>1</v>
      </c>
      <c r="G73" t="s">
        <v>9</v>
      </c>
      <c r="H73" t="s">
        <v>12</v>
      </c>
    </row>
    <row r="74" spans="1:8" x14ac:dyDescent="0.25">
      <c r="A74">
        <v>2024</v>
      </c>
      <c r="B74">
        <v>21</v>
      </c>
      <c r="C74" t="s">
        <v>14</v>
      </c>
      <c r="D74">
        <v>0</v>
      </c>
      <c r="E74">
        <v>0</v>
      </c>
      <c r="F74">
        <v>0</v>
      </c>
      <c r="G74" t="s">
        <v>9</v>
      </c>
      <c r="H74" t="s">
        <v>12</v>
      </c>
    </row>
    <row r="75" spans="1:8" x14ac:dyDescent="0.25">
      <c r="A75">
        <v>2024</v>
      </c>
      <c r="B75">
        <v>22</v>
      </c>
      <c r="C75" t="s">
        <v>14</v>
      </c>
      <c r="D75">
        <v>4</v>
      </c>
      <c r="E75">
        <v>3</v>
      </c>
      <c r="F75">
        <f>2/3</f>
        <v>0.66666666666666663</v>
      </c>
      <c r="G75" t="s">
        <v>9</v>
      </c>
      <c r="H75" t="s">
        <v>12</v>
      </c>
    </row>
    <row r="76" spans="1:8" x14ac:dyDescent="0.25">
      <c r="A76">
        <v>2024</v>
      </c>
      <c r="B76">
        <v>23</v>
      </c>
      <c r="C76" t="s">
        <v>14</v>
      </c>
      <c r="D76">
        <v>14</v>
      </c>
      <c r="E76">
        <v>3</v>
      </c>
      <c r="F76">
        <v>1</v>
      </c>
      <c r="G76" t="s">
        <v>9</v>
      </c>
      <c r="H76" t="s">
        <v>12</v>
      </c>
    </row>
    <row r="77" spans="1:8" x14ac:dyDescent="0.25">
      <c r="A77">
        <v>2024</v>
      </c>
      <c r="B77">
        <v>24</v>
      </c>
      <c r="C77" t="s">
        <v>14</v>
      </c>
      <c r="D77">
        <v>4</v>
      </c>
      <c r="E77">
        <v>2</v>
      </c>
      <c r="F77">
        <v>1</v>
      </c>
      <c r="G77" t="s">
        <v>11</v>
      </c>
      <c r="H77" t="s">
        <v>12</v>
      </c>
    </row>
    <row r="78" spans="1:8" x14ac:dyDescent="0.25">
      <c r="A78">
        <v>2024</v>
      </c>
      <c r="B78">
        <v>25</v>
      </c>
      <c r="C78" t="s">
        <v>14</v>
      </c>
      <c r="D78">
        <v>8</v>
      </c>
      <c r="E78">
        <v>2</v>
      </c>
      <c r="F78">
        <v>1</v>
      </c>
      <c r="G78" t="s">
        <v>9</v>
      </c>
      <c r="H78" t="s">
        <v>12</v>
      </c>
    </row>
    <row r="79" spans="1:8" x14ac:dyDescent="0.25">
      <c r="A79">
        <v>2024</v>
      </c>
      <c r="B79">
        <v>26</v>
      </c>
      <c r="C79" t="s">
        <v>14</v>
      </c>
      <c r="D79">
        <v>1</v>
      </c>
      <c r="E79">
        <v>1</v>
      </c>
      <c r="F79">
        <v>0</v>
      </c>
      <c r="G79" t="s">
        <v>9</v>
      </c>
      <c r="H79" t="s">
        <v>12</v>
      </c>
    </row>
    <row r="80" spans="1:8" x14ac:dyDescent="0.25">
      <c r="A80">
        <v>2024</v>
      </c>
      <c r="B80">
        <v>27</v>
      </c>
      <c r="C80" t="s">
        <v>14</v>
      </c>
      <c r="D80">
        <v>15</v>
      </c>
      <c r="E80">
        <v>3</v>
      </c>
      <c r="F80">
        <v>1</v>
      </c>
      <c r="G80" t="s">
        <v>9</v>
      </c>
      <c r="H80" t="s">
        <v>12</v>
      </c>
    </row>
    <row r="81" spans="1:8" x14ac:dyDescent="0.25">
      <c r="A81">
        <v>2024</v>
      </c>
      <c r="B81">
        <v>28</v>
      </c>
      <c r="C81" t="s">
        <v>14</v>
      </c>
      <c r="D81">
        <v>14</v>
      </c>
      <c r="E81">
        <v>9</v>
      </c>
      <c r="F81">
        <f>2/9</f>
        <v>0.22222222222222221</v>
      </c>
      <c r="G81" t="s">
        <v>9</v>
      </c>
      <c r="H81" t="s">
        <v>12</v>
      </c>
    </row>
    <row r="82" spans="1:8" x14ac:dyDescent="0.25">
      <c r="A82">
        <v>2024</v>
      </c>
      <c r="B82">
        <v>29</v>
      </c>
      <c r="C82" t="s">
        <v>14</v>
      </c>
      <c r="D82">
        <v>6</v>
      </c>
      <c r="E82">
        <v>3</v>
      </c>
      <c r="F82">
        <v>1</v>
      </c>
      <c r="G82" t="s">
        <v>9</v>
      </c>
      <c r="H82" t="s">
        <v>12</v>
      </c>
    </row>
    <row r="83" spans="1:8" x14ac:dyDescent="0.25">
      <c r="A83">
        <v>2024</v>
      </c>
      <c r="B83">
        <v>30</v>
      </c>
      <c r="C83" t="s">
        <v>14</v>
      </c>
      <c r="D83">
        <v>23</v>
      </c>
      <c r="E83">
        <v>6</v>
      </c>
      <c r="F83">
        <v>1</v>
      </c>
      <c r="G83" t="s">
        <v>11</v>
      </c>
      <c r="H83" t="s">
        <v>12</v>
      </c>
    </row>
    <row r="84" spans="1:8" x14ac:dyDescent="0.25">
      <c r="A84">
        <v>2024</v>
      </c>
      <c r="B84">
        <v>31</v>
      </c>
      <c r="C84" t="s">
        <v>14</v>
      </c>
      <c r="D84">
        <v>29</v>
      </c>
      <c r="E84">
        <v>9</v>
      </c>
      <c r="F84">
        <v>1</v>
      </c>
      <c r="G84" t="s">
        <v>9</v>
      </c>
      <c r="H84" t="s">
        <v>12</v>
      </c>
    </row>
    <row r="85" spans="1:8" x14ac:dyDescent="0.25">
      <c r="A85">
        <v>2024</v>
      </c>
      <c r="B85">
        <v>32</v>
      </c>
      <c r="C85" t="s">
        <v>14</v>
      </c>
      <c r="D85">
        <v>16</v>
      </c>
      <c r="E85">
        <v>6</v>
      </c>
      <c r="F85">
        <v>1</v>
      </c>
      <c r="G85" t="s">
        <v>9</v>
      </c>
      <c r="H85" t="s">
        <v>12</v>
      </c>
    </row>
    <row r="86" spans="1:8" x14ac:dyDescent="0.25">
      <c r="A86">
        <v>2024</v>
      </c>
      <c r="B86">
        <v>33</v>
      </c>
      <c r="C86" t="s">
        <v>14</v>
      </c>
      <c r="D86">
        <v>28</v>
      </c>
      <c r="E86">
        <v>9</v>
      </c>
      <c r="F86">
        <v>1</v>
      </c>
      <c r="G86" t="s">
        <v>9</v>
      </c>
      <c r="H86" t="s">
        <v>12</v>
      </c>
    </row>
    <row r="87" spans="1:8" x14ac:dyDescent="0.25">
      <c r="A87">
        <v>2024</v>
      </c>
      <c r="B87">
        <v>34</v>
      </c>
      <c r="C87" t="s">
        <v>14</v>
      </c>
      <c r="D87">
        <v>2</v>
      </c>
      <c r="E87">
        <v>1</v>
      </c>
      <c r="F87">
        <v>1</v>
      </c>
      <c r="G87" t="s">
        <v>9</v>
      </c>
      <c r="H87" t="s">
        <v>12</v>
      </c>
    </row>
    <row r="88" spans="1:8" x14ac:dyDescent="0.25">
      <c r="A88">
        <v>2024</v>
      </c>
      <c r="B88">
        <v>35</v>
      </c>
      <c r="C88" t="s">
        <v>14</v>
      </c>
      <c r="D88">
        <v>26</v>
      </c>
      <c r="E88">
        <v>2</v>
      </c>
      <c r="F88">
        <v>1</v>
      </c>
      <c r="G88" t="s">
        <v>9</v>
      </c>
      <c r="H88" t="s">
        <v>12</v>
      </c>
    </row>
    <row r="89" spans="1:8" x14ac:dyDescent="0.25">
      <c r="A89">
        <v>2024</v>
      </c>
      <c r="B89">
        <v>36</v>
      </c>
      <c r="C89" t="s">
        <v>14</v>
      </c>
      <c r="D89">
        <v>49</v>
      </c>
      <c r="E89">
        <v>9</v>
      </c>
      <c r="F89">
        <v>1</v>
      </c>
      <c r="G89" t="s">
        <v>9</v>
      </c>
      <c r="H89" t="s">
        <v>12</v>
      </c>
    </row>
    <row r="90" spans="1:8" x14ac:dyDescent="0.25">
      <c r="A90">
        <v>2024</v>
      </c>
      <c r="B90">
        <v>37</v>
      </c>
      <c r="C90" t="s">
        <v>14</v>
      </c>
      <c r="D90">
        <v>31</v>
      </c>
      <c r="E90">
        <v>4</v>
      </c>
      <c r="F90">
        <v>1</v>
      </c>
      <c r="G90" t="s">
        <v>9</v>
      </c>
      <c r="H90" t="s">
        <v>12</v>
      </c>
    </row>
    <row r="91" spans="1:8" x14ac:dyDescent="0.25">
      <c r="A91">
        <v>2024</v>
      </c>
      <c r="B91">
        <v>38</v>
      </c>
      <c r="C91" t="s">
        <v>14</v>
      </c>
      <c r="D91">
        <v>1</v>
      </c>
      <c r="E91">
        <v>1</v>
      </c>
      <c r="F91">
        <v>1</v>
      </c>
      <c r="G91" t="s">
        <v>9</v>
      </c>
      <c r="H91" t="s">
        <v>12</v>
      </c>
    </row>
    <row r="92" spans="1:8" x14ac:dyDescent="0.25">
      <c r="A92">
        <v>2024</v>
      </c>
      <c r="B92">
        <v>39</v>
      </c>
      <c r="C92" t="s">
        <v>14</v>
      </c>
      <c r="D92">
        <v>15</v>
      </c>
      <c r="E92">
        <v>5</v>
      </c>
      <c r="F92">
        <v>1</v>
      </c>
      <c r="G92" t="s">
        <v>9</v>
      </c>
      <c r="H92" t="s">
        <v>12</v>
      </c>
    </row>
    <row r="93" spans="1:8" x14ac:dyDescent="0.25">
      <c r="A93">
        <v>2024</v>
      </c>
      <c r="B93">
        <v>40</v>
      </c>
      <c r="C93" t="s">
        <v>14</v>
      </c>
      <c r="D93">
        <v>2</v>
      </c>
      <c r="E93">
        <v>1</v>
      </c>
      <c r="F93">
        <v>1</v>
      </c>
      <c r="G93" t="s">
        <v>9</v>
      </c>
      <c r="H93" t="s">
        <v>12</v>
      </c>
    </row>
    <row r="94" spans="1:8" x14ac:dyDescent="0.25">
      <c r="A94">
        <v>2024</v>
      </c>
      <c r="B94">
        <v>41</v>
      </c>
      <c r="C94" t="s">
        <v>14</v>
      </c>
      <c r="D94">
        <v>20</v>
      </c>
      <c r="E94">
        <v>7</v>
      </c>
      <c r="F94">
        <f>6/7</f>
        <v>0.8571428571428571</v>
      </c>
      <c r="G94" t="s">
        <v>9</v>
      </c>
      <c r="H94" t="s">
        <v>12</v>
      </c>
    </row>
    <row r="95" spans="1:8" x14ac:dyDescent="0.25">
      <c r="A95">
        <v>2024</v>
      </c>
      <c r="B95">
        <v>42</v>
      </c>
      <c r="C95" t="s">
        <v>14</v>
      </c>
      <c r="D95">
        <v>30</v>
      </c>
      <c r="E95">
        <v>4</v>
      </c>
      <c r="F95">
        <v>1</v>
      </c>
      <c r="G95" t="s">
        <v>9</v>
      </c>
      <c r="H95" t="s">
        <v>12</v>
      </c>
    </row>
    <row r="96" spans="1:8" x14ac:dyDescent="0.25">
      <c r="A96">
        <v>2024</v>
      </c>
      <c r="B96">
        <v>43</v>
      </c>
      <c r="C96" t="s">
        <v>14</v>
      </c>
      <c r="D96">
        <v>6</v>
      </c>
      <c r="E96">
        <v>1</v>
      </c>
      <c r="F96">
        <v>1</v>
      </c>
      <c r="G96" t="s">
        <v>9</v>
      </c>
      <c r="H96" t="s">
        <v>12</v>
      </c>
    </row>
    <row r="97" spans="1:8" x14ac:dyDescent="0.25">
      <c r="A97">
        <v>2024</v>
      </c>
      <c r="B97">
        <v>44</v>
      </c>
      <c r="C97" t="s">
        <v>14</v>
      </c>
      <c r="D97">
        <v>6</v>
      </c>
      <c r="E97">
        <v>2</v>
      </c>
      <c r="F97">
        <v>1</v>
      </c>
      <c r="G97" t="s">
        <v>9</v>
      </c>
      <c r="H97" t="s">
        <v>10</v>
      </c>
    </row>
    <row r="98" spans="1:8" x14ac:dyDescent="0.25">
      <c r="A98">
        <v>2024</v>
      </c>
      <c r="B98">
        <v>45</v>
      </c>
      <c r="C98" t="s">
        <v>14</v>
      </c>
      <c r="D98">
        <v>4</v>
      </c>
      <c r="E98">
        <v>1</v>
      </c>
      <c r="F98">
        <v>1</v>
      </c>
      <c r="G98" t="s">
        <v>9</v>
      </c>
      <c r="H98" t="s">
        <v>10</v>
      </c>
    </row>
    <row r="99" spans="1:8" x14ac:dyDescent="0.25">
      <c r="A99">
        <v>2024</v>
      </c>
      <c r="B99">
        <v>46</v>
      </c>
      <c r="C99" t="s">
        <v>14</v>
      </c>
      <c r="D99">
        <v>17</v>
      </c>
      <c r="E99">
        <v>4</v>
      </c>
      <c r="F99">
        <v>1</v>
      </c>
      <c r="G99" t="s">
        <v>9</v>
      </c>
      <c r="H99" t="s">
        <v>10</v>
      </c>
    </row>
    <row r="100" spans="1:8" x14ac:dyDescent="0.25">
      <c r="A100">
        <v>2024</v>
      </c>
      <c r="B100">
        <v>47</v>
      </c>
      <c r="C100" t="s">
        <v>14</v>
      </c>
      <c r="D100">
        <v>24</v>
      </c>
      <c r="E100">
        <v>2</v>
      </c>
      <c r="F100">
        <v>1</v>
      </c>
      <c r="G100" t="s">
        <v>9</v>
      </c>
      <c r="H100" t="s">
        <v>10</v>
      </c>
    </row>
    <row r="101" spans="1:8" x14ac:dyDescent="0.25">
      <c r="A101">
        <v>2024</v>
      </c>
      <c r="B101">
        <v>48</v>
      </c>
      <c r="C101" t="s">
        <v>14</v>
      </c>
      <c r="D101">
        <v>3</v>
      </c>
      <c r="E101">
        <v>2</v>
      </c>
      <c r="F101">
        <v>1</v>
      </c>
      <c r="G101" t="s">
        <v>9</v>
      </c>
      <c r="H101" t="s">
        <v>10</v>
      </c>
    </row>
    <row r="102" spans="1:8" x14ac:dyDescent="0.25">
      <c r="A102">
        <v>2024</v>
      </c>
      <c r="B102">
        <v>49</v>
      </c>
      <c r="C102" t="s">
        <v>14</v>
      </c>
      <c r="D102">
        <v>5</v>
      </c>
      <c r="E102">
        <v>2</v>
      </c>
      <c r="F102">
        <v>0.5</v>
      </c>
      <c r="G102" t="s">
        <v>9</v>
      </c>
      <c r="H102" t="s">
        <v>10</v>
      </c>
    </row>
    <row r="103" spans="1:8" x14ac:dyDescent="0.25">
      <c r="A103">
        <v>2024</v>
      </c>
      <c r="B103">
        <v>50</v>
      </c>
      <c r="C103" t="s">
        <v>14</v>
      </c>
      <c r="D103">
        <v>14</v>
      </c>
      <c r="E103">
        <v>4</v>
      </c>
      <c r="F103">
        <v>0.75</v>
      </c>
      <c r="G103" t="s">
        <v>9</v>
      </c>
      <c r="H103" t="s">
        <v>10</v>
      </c>
    </row>
    <row r="104" spans="1:8" x14ac:dyDescent="0.25">
      <c r="A104">
        <v>2024</v>
      </c>
      <c r="B104">
        <v>51</v>
      </c>
      <c r="C104" t="s">
        <v>14</v>
      </c>
      <c r="D104">
        <v>0</v>
      </c>
      <c r="E104">
        <v>0</v>
      </c>
      <c r="F104">
        <v>0</v>
      </c>
      <c r="G104" t="s">
        <v>11</v>
      </c>
      <c r="H104" t="s">
        <v>10</v>
      </c>
    </row>
    <row r="105" spans="1:8" x14ac:dyDescent="0.25">
      <c r="A105">
        <v>2024</v>
      </c>
      <c r="B105">
        <v>52</v>
      </c>
      <c r="C105" t="s">
        <v>14</v>
      </c>
      <c r="D105">
        <v>14</v>
      </c>
      <c r="E105">
        <v>4</v>
      </c>
      <c r="F105">
        <v>0.75</v>
      </c>
      <c r="G105" t="s">
        <v>11</v>
      </c>
      <c r="H105" t="s">
        <v>10</v>
      </c>
    </row>
    <row r="106" spans="1:8" x14ac:dyDescent="0.25">
      <c r="A106">
        <v>2024</v>
      </c>
      <c r="B106">
        <v>53</v>
      </c>
      <c r="C106" t="s">
        <v>14</v>
      </c>
      <c r="D106">
        <v>6</v>
      </c>
      <c r="E106">
        <v>1</v>
      </c>
      <c r="F106">
        <v>1</v>
      </c>
      <c r="G106" t="s">
        <v>11</v>
      </c>
      <c r="H106" t="s">
        <v>10</v>
      </c>
    </row>
    <row r="107" spans="1:8" x14ac:dyDescent="0.25">
      <c r="A107">
        <v>2025</v>
      </c>
      <c r="B107">
        <v>1</v>
      </c>
      <c r="C107" t="s">
        <v>14</v>
      </c>
      <c r="D107">
        <v>0</v>
      </c>
      <c r="E107">
        <v>0</v>
      </c>
      <c r="F107">
        <v>0</v>
      </c>
      <c r="G107" t="s">
        <v>9</v>
      </c>
      <c r="H107" t="s">
        <v>10</v>
      </c>
    </row>
    <row r="108" spans="1:8" x14ac:dyDescent="0.25">
      <c r="A108">
        <v>2025</v>
      </c>
      <c r="B108">
        <v>2</v>
      </c>
      <c r="C108" t="s">
        <v>14</v>
      </c>
      <c r="D108">
        <v>0</v>
      </c>
      <c r="E108">
        <v>0</v>
      </c>
      <c r="F108">
        <v>0</v>
      </c>
      <c r="G108" t="s">
        <v>9</v>
      </c>
      <c r="H108" t="s">
        <v>10</v>
      </c>
    </row>
    <row r="109" spans="1:8" x14ac:dyDescent="0.25">
      <c r="A109">
        <v>2025</v>
      </c>
      <c r="B109">
        <v>3</v>
      </c>
      <c r="C109" t="s">
        <v>14</v>
      </c>
      <c r="D109">
        <v>0</v>
      </c>
      <c r="E109">
        <v>0</v>
      </c>
      <c r="F109">
        <v>0</v>
      </c>
      <c r="G109" t="s">
        <v>9</v>
      </c>
      <c r="H109" t="s">
        <v>10</v>
      </c>
    </row>
    <row r="110" spans="1:8" x14ac:dyDescent="0.25">
      <c r="A110">
        <v>2025</v>
      </c>
      <c r="B110">
        <v>4</v>
      </c>
      <c r="C110" t="s">
        <v>14</v>
      </c>
      <c r="D110">
        <v>0</v>
      </c>
      <c r="E110">
        <v>0</v>
      </c>
      <c r="F110">
        <v>0</v>
      </c>
      <c r="G110" t="s">
        <v>9</v>
      </c>
      <c r="H110" t="s">
        <v>10</v>
      </c>
    </row>
    <row r="111" spans="1:8" x14ac:dyDescent="0.25">
      <c r="A111">
        <v>2025</v>
      </c>
      <c r="B111">
        <v>5</v>
      </c>
      <c r="C111" t="s">
        <v>14</v>
      </c>
      <c r="D111">
        <v>7</v>
      </c>
      <c r="E111">
        <v>1</v>
      </c>
      <c r="F111">
        <v>1</v>
      </c>
      <c r="G111" t="s">
        <v>9</v>
      </c>
      <c r="H111" t="s">
        <v>10</v>
      </c>
    </row>
    <row r="112" spans="1:8" x14ac:dyDescent="0.25">
      <c r="A112">
        <v>2025</v>
      </c>
      <c r="B112">
        <v>6</v>
      </c>
      <c r="C112" t="s">
        <v>14</v>
      </c>
      <c r="D112">
        <v>16</v>
      </c>
      <c r="E112">
        <v>2</v>
      </c>
      <c r="F112">
        <v>1</v>
      </c>
      <c r="G112" t="s">
        <v>9</v>
      </c>
      <c r="H112" t="s">
        <v>10</v>
      </c>
    </row>
    <row r="113" spans="1:8" x14ac:dyDescent="0.25">
      <c r="A113">
        <v>2025</v>
      </c>
      <c r="B113">
        <v>7</v>
      </c>
      <c r="C113" t="s">
        <v>14</v>
      </c>
      <c r="D113">
        <v>5</v>
      </c>
      <c r="E113">
        <v>2</v>
      </c>
      <c r="F113">
        <v>1</v>
      </c>
      <c r="G113" t="s">
        <v>9</v>
      </c>
      <c r="H113" t="s">
        <v>10</v>
      </c>
    </row>
    <row r="114" spans="1:8" x14ac:dyDescent="0.25">
      <c r="A114">
        <v>2025</v>
      </c>
      <c r="B114">
        <v>8</v>
      </c>
      <c r="C114" t="s">
        <v>14</v>
      </c>
      <c r="D114">
        <v>32</v>
      </c>
      <c r="E114">
        <v>2</v>
      </c>
      <c r="F114">
        <v>1</v>
      </c>
      <c r="G114" t="s">
        <v>11</v>
      </c>
      <c r="H114" t="s">
        <v>10</v>
      </c>
    </row>
    <row r="115" spans="1:8" x14ac:dyDescent="0.25">
      <c r="A115">
        <v>2025</v>
      </c>
      <c r="B115">
        <v>9</v>
      </c>
      <c r="C115" t="s">
        <v>14</v>
      </c>
      <c r="D115">
        <v>12</v>
      </c>
      <c r="E115">
        <v>5</v>
      </c>
      <c r="F115">
        <v>1</v>
      </c>
      <c r="G115" t="s">
        <v>11</v>
      </c>
      <c r="H115" t="s">
        <v>10</v>
      </c>
    </row>
    <row r="116" spans="1:8" x14ac:dyDescent="0.25">
      <c r="A116">
        <v>2025</v>
      </c>
      <c r="B116">
        <v>10</v>
      </c>
      <c r="C116" t="s">
        <v>14</v>
      </c>
      <c r="D116">
        <v>27</v>
      </c>
      <c r="E116">
        <v>4</v>
      </c>
      <c r="F116">
        <v>0.75</v>
      </c>
      <c r="G116" t="s">
        <v>9</v>
      </c>
      <c r="H116" t="s">
        <v>10</v>
      </c>
    </row>
    <row r="117" spans="1:8" x14ac:dyDescent="0.25">
      <c r="A117">
        <v>2025</v>
      </c>
      <c r="B117">
        <v>11</v>
      </c>
      <c r="C117" t="s">
        <v>14</v>
      </c>
      <c r="D117">
        <v>2</v>
      </c>
      <c r="E117">
        <v>1</v>
      </c>
      <c r="F117">
        <v>1</v>
      </c>
      <c r="G117" t="s">
        <v>9</v>
      </c>
      <c r="H117" t="s">
        <v>10</v>
      </c>
    </row>
    <row r="118" spans="1:8" x14ac:dyDescent="0.25">
      <c r="A118">
        <v>2025</v>
      </c>
      <c r="B118">
        <v>12</v>
      </c>
      <c r="C118" t="s">
        <v>14</v>
      </c>
      <c r="D118">
        <v>12</v>
      </c>
      <c r="E118">
        <v>1</v>
      </c>
      <c r="F118">
        <v>1</v>
      </c>
      <c r="G118" t="s">
        <v>9</v>
      </c>
      <c r="H118" t="s">
        <v>10</v>
      </c>
    </row>
    <row r="119" spans="1:8" x14ac:dyDescent="0.25">
      <c r="A119">
        <v>2025</v>
      </c>
      <c r="B119">
        <v>13</v>
      </c>
      <c r="C119" t="s">
        <v>14</v>
      </c>
      <c r="D119">
        <v>0</v>
      </c>
      <c r="E119">
        <v>0</v>
      </c>
      <c r="F119">
        <v>0</v>
      </c>
      <c r="G119" t="s">
        <v>9</v>
      </c>
      <c r="H119" t="s">
        <v>12</v>
      </c>
    </row>
    <row r="120" spans="1:8" x14ac:dyDescent="0.25">
      <c r="A120">
        <v>2025</v>
      </c>
      <c r="B120">
        <v>14</v>
      </c>
      <c r="C120" t="s">
        <v>14</v>
      </c>
      <c r="D120">
        <v>43</v>
      </c>
      <c r="E120">
        <v>5</v>
      </c>
      <c r="F120">
        <v>1</v>
      </c>
      <c r="G120" t="s">
        <v>9</v>
      </c>
      <c r="H120" t="s">
        <v>12</v>
      </c>
    </row>
    <row r="121" spans="1:8" x14ac:dyDescent="0.25">
      <c r="A121">
        <v>2025</v>
      </c>
      <c r="B121">
        <v>15</v>
      </c>
      <c r="C121" t="s">
        <v>14</v>
      </c>
      <c r="D121">
        <v>27</v>
      </c>
      <c r="E121">
        <v>5</v>
      </c>
      <c r="F121">
        <v>1</v>
      </c>
      <c r="G121" t="s">
        <v>9</v>
      </c>
      <c r="H121" t="s">
        <v>12</v>
      </c>
    </row>
    <row r="122" spans="1:8" x14ac:dyDescent="0.25">
      <c r="A122">
        <v>2025</v>
      </c>
      <c r="B122">
        <v>16</v>
      </c>
      <c r="C122" t="s">
        <v>14</v>
      </c>
      <c r="D122">
        <v>33</v>
      </c>
      <c r="E122">
        <v>4</v>
      </c>
      <c r="F122">
        <v>1</v>
      </c>
      <c r="G122" t="s">
        <v>11</v>
      </c>
      <c r="H122" t="s">
        <v>12</v>
      </c>
    </row>
    <row r="123" spans="1:8" x14ac:dyDescent="0.25">
      <c r="A123">
        <v>2025</v>
      </c>
      <c r="B123">
        <v>17</v>
      </c>
      <c r="C123" t="s">
        <v>14</v>
      </c>
      <c r="D123">
        <v>6</v>
      </c>
      <c r="E123">
        <v>3</v>
      </c>
      <c r="F123">
        <v>1</v>
      </c>
      <c r="G123" t="s">
        <v>11</v>
      </c>
      <c r="H123" t="s">
        <v>12</v>
      </c>
    </row>
    <row r="124" spans="1:8" x14ac:dyDescent="0.25">
      <c r="A124">
        <v>2025</v>
      </c>
      <c r="B124">
        <v>18</v>
      </c>
      <c r="C124" t="s">
        <v>14</v>
      </c>
      <c r="D124">
        <v>25</v>
      </c>
      <c r="E124">
        <v>3</v>
      </c>
      <c r="F124">
        <v>1</v>
      </c>
      <c r="G124" t="s">
        <v>9</v>
      </c>
      <c r="H124" t="s">
        <v>12</v>
      </c>
    </row>
    <row r="125" spans="1:8" x14ac:dyDescent="0.25">
      <c r="A125">
        <v>2025</v>
      </c>
      <c r="B125">
        <v>19</v>
      </c>
      <c r="C125" t="s">
        <v>14</v>
      </c>
      <c r="D125">
        <v>5</v>
      </c>
      <c r="E125">
        <v>2</v>
      </c>
      <c r="F125">
        <v>1</v>
      </c>
      <c r="G125" t="s">
        <v>11</v>
      </c>
      <c r="H125" t="s">
        <v>12</v>
      </c>
    </row>
    <row r="126" spans="1:8" x14ac:dyDescent="0.25">
      <c r="A126">
        <v>2025</v>
      </c>
      <c r="B126">
        <v>20</v>
      </c>
      <c r="C126" t="s">
        <v>14</v>
      </c>
      <c r="D126">
        <v>16</v>
      </c>
      <c r="E126">
        <v>2</v>
      </c>
      <c r="F126">
        <v>1</v>
      </c>
      <c r="G126" t="s">
        <v>9</v>
      </c>
      <c r="H126" t="s">
        <v>12</v>
      </c>
    </row>
    <row r="127" spans="1:8" x14ac:dyDescent="0.25">
      <c r="A127">
        <v>2025</v>
      </c>
      <c r="B127">
        <v>21</v>
      </c>
      <c r="C127" t="s">
        <v>14</v>
      </c>
      <c r="D127">
        <v>19</v>
      </c>
      <c r="E127">
        <v>3</v>
      </c>
      <c r="F127">
        <f>2/3</f>
        <v>0.66666666666666663</v>
      </c>
      <c r="G127" t="s">
        <v>9</v>
      </c>
      <c r="H127" t="s">
        <v>12</v>
      </c>
    </row>
    <row r="128" spans="1:8" x14ac:dyDescent="0.25">
      <c r="A128">
        <v>2025</v>
      </c>
      <c r="B128">
        <v>22</v>
      </c>
      <c r="C128" t="s">
        <v>14</v>
      </c>
      <c r="D128">
        <v>6</v>
      </c>
      <c r="E128">
        <v>1</v>
      </c>
      <c r="F128">
        <v>1</v>
      </c>
      <c r="G128" t="s">
        <v>9</v>
      </c>
      <c r="H128" t="s">
        <v>12</v>
      </c>
    </row>
    <row r="129" spans="1:8" x14ac:dyDescent="0.25">
      <c r="A129">
        <v>2025</v>
      </c>
      <c r="B129">
        <v>23</v>
      </c>
      <c r="C129" t="s">
        <v>14</v>
      </c>
      <c r="D129">
        <v>11</v>
      </c>
      <c r="E129">
        <v>3</v>
      </c>
      <c r="F129">
        <v>1</v>
      </c>
      <c r="G129" t="s">
        <v>9</v>
      </c>
      <c r="H129" t="s">
        <v>12</v>
      </c>
    </row>
    <row r="130" spans="1:8" x14ac:dyDescent="0.25">
      <c r="A130">
        <v>2025</v>
      </c>
      <c r="B130">
        <v>24</v>
      </c>
      <c r="C130" t="s">
        <v>14</v>
      </c>
      <c r="D130">
        <v>12</v>
      </c>
      <c r="E130">
        <v>3</v>
      </c>
      <c r="F130">
        <f>2/3</f>
        <v>0.66666666666666663</v>
      </c>
      <c r="G130" t="s">
        <v>11</v>
      </c>
      <c r="H130" t="s">
        <v>12</v>
      </c>
    </row>
    <row r="131" spans="1:8" x14ac:dyDescent="0.25">
      <c r="A131">
        <v>2025</v>
      </c>
      <c r="B131">
        <v>25</v>
      </c>
      <c r="C131" t="s">
        <v>14</v>
      </c>
      <c r="D131">
        <v>17</v>
      </c>
      <c r="E131">
        <v>3</v>
      </c>
      <c r="F131">
        <v>1</v>
      </c>
      <c r="G131" t="s">
        <v>9</v>
      </c>
      <c r="H131" t="s">
        <v>12</v>
      </c>
    </row>
    <row r="132" spans="1:8" x14ac:dyDescent="0.25">
      <c r="A132">
        <v>2025</v>
      </c>
      <c r="B132">
        <v>26</v>
      </c>
      <c r="C132" t="s">
        <v>14</v>
      </c>
      <c r="D132">
        <v>24</v>
      </c>
      <c r="E132">
        <v>5</v>
      </c>
      <c r="F132">
        <f>4/5</f>
        <v>0.8</v>
      </c>
      <c r="G132" t="s">
        <v>9</v>
      </c>
      <c r="H132" t="s">
        <v>12</v>
      </c>
    </row>
    <row r="133" spans="1:8" x14ac:dyDescent="0.25">
      <c r="A133">
        <v>2025</v>
      </c>
      <c r="B133">
        <v>27</v>
      </c>
      <c r="C133" t="s">
        <v>14</v>
      </c>
      <c r="D133">
        <v>33</v>
      </c>
      <c r="E133">
        <v>6</v>
      </c>
      <c r="F133">
        <f>5/6</f>
        <v>0.83333333333333337</v>
      </c>
      <c r="G133" t="s">
        <v>9</v>
      </c>
      <c r="H133" t="s">
        <v>12</v>
      </c>
    </row>
    <row r="134" spans="1:8" x14ac:dyDescent="0.25">
      <c r="A134">
        <v>2025</v>
      </c>
      <c r="B134">
        <v>28</v>
      </c>
      <c r="C134" t="s">
        <v>14</v>
      </c>
      <c r="D134">
        <v>17</v>
      </c>
      <c r="E134">
        <v>3</v>
      </c>
      <c r="F134">
        <v>1</v>
      </c>
      <c r="G134" t="s">
        <v>9</v>
      </c>
      <c r="H134" t="s">
        <v>12</v>
      </c>
    </row>
    <row r="135" spans="1:8" x14ac:dyDescent="0.25">
      <c r="A135">
        <v>2025</v>
      </c>
      <c r="B135">
        <v>29</v>
      </c>
      <c r="C135" t="s">
        <v>14</v>
      </c>
      <c r="D135">
        <v>4</v>
      </c>
      <c r="E135">
        <v>2</v>
      </c>
      <c r="F135">
        <v>0.5</v>
      </c>
      <c r="G135" t="s">
        <v>9</v>
      </c>
      <c r="H135" t="s">
        <v>12</v>
      </c>
    </row>
    <row r="136" spans="1:8" x14ac:dyDescent="0.25">
      <c r="A136">
        <v>2025</v>
      </c>
      <c r="B136">
        <v>30</v>
      </c>
      <c r="C136" t="s">
        <v>14</v>
      </c>
      <c r="D136">
        <v>28</v>
      </c>
      <c r="E136">
        <v>5</v>
      </c>
      <c r="F136">
        <v>1</v>
      </c>
      <c r="G136" t="s">
        <v>11</v>
      </c>
      <c r="H136" t="s">
        <v>12</v>
      </c>
    </row>
    <row r="137" spans="1:8" x14ac:dyDescent="0.25">
      <c r="A137">
        <v>2025</v>
      </c>
      <c r="B137">
        <v>31</v>
      </c>
      <c r="C137" t="s">
        <v>14</v>
      </c>
      <c r="D137">
        <v>0</v>
      </c>
      <c r="E137">
        <v>0</v>
      </c>
      <c r="F137">
        <v>0</v>
      </c>
      <c r="G137" t="s">
        <v>11</v>
      </c>
      <c r="H137" t="s">
        <v>12</v>
      </c>
    </row>
    <row r="138" spans="1:8" x14ac:dyDescent="0.25">
      <c r="A138">
        <v>2025</v>
      </c>
      <c r="B138">
        <v>32</v>
      </c>
      <c r="C138" t="s">
        <v>14</v>
      </c>
      <c r="D138">
        <v>19</v>
      </c>
      <c r="E138">
        <v>3</v>
      </c>
      <c r="F138">
        <v>1</v>
      </c>
      <c r="G138" t="s">
        <v>9</v>
      </c>
      <c r="H138" t="s">
        <v>12</v>
      </c>
    </row>
    <row r="139" spans="1:8" x14ac:dyDescent="0.25">
      <c r="A139">
        <v>2025</v>
      </c>
      <c r="B139">
        <v>33</v>
      </c>
      <c r="C139" t="s">
        <v>14</v>
      </c>
      <c r="D139">
        <v>48</v>
      </c>
      <c r="E139">
        <v>6</v>
      </c>
      <c r="F139">
        <v>1</v>
      </c>
      <c r="G139" t="s">
        <v>9</v>
      </c>
      <c r="H139" t="s">
        <v>12</v>
      </c>
    </row>
    <row r="140" spans="1:8" x14ac:dyDescent="0.25">
      <c r="A140">
        <v>2025</v>
      </c>
      <c r="B140">
        <v>34</v>
      </c>
      <c r="C140" t="s">
        <v>14</v>
      </c>
      <c r="D140">
        <v>24</v>
      </c>
      <c r="E140">
        <v>2</v>
      </c>
      <c r="F140">
        <v>1</v>
      </c>
      <c r="G140" t="s">
        <v>9</v>
      </c>
      <c r="H140" t="s">
        <v>12</v>
      </c>
    </row>
    <row r="141" spans="1:8" x14ac:dyDescent="0.25">
      <c r="A141">
        <v>2025</v>
      </c>
      <c r="B141">
        <v>35</v>
      </c>
      <c r="C141" t="s">
        <v>14</v>
      </c>
      <c r="D141">
        <v>4</v>
      </c>
      <c r="E141">
        <v>4</v>
      </c>
      <c r="F141">
        <v>1</v>
      </c>
      <c r="G141" t="s">
        <v>9</v>
      </c>
      <c r="H141" t="s">
        <v>12</v>
      </c>
    </row>
    <row r="142" spans="1:8" x14ac:dyDescent="0.25">
      <c r="A142">
        <v>2025</v>
      </c>
      <c r="B142">
        <v>36</v>
      </c>
      <c r="C142" t="s">
        <v>14</v>
      </c>
      <c r="D142">
        <v>11</v>
      </c>
      <c r="E142">
        <v>5</v>
      </c>
      <c r="F142">
        <f>3/5</f>
        <v>0.6</v>
      </c>
      <c r="G142" t="s">
        <v>9</v>
      </c>
      <c r="H142" t="s">
        <v>12</v>
      </c>
    </row>
    <row r="143" spans="1:8" x14ac:dyDescent="0.25">
      <c r="A143">
        <v>2025</v>
      </c>
      <c r="B143">
        <v>37</v>
      </c>
      <c r="C143" t="s">
        <v>14</v>
      </c>
      <c r="D143">
        <v>21</v>
      </c>
      <c r="E143">
        <v>4</v>
      </c>
      <c r="F143">
        <v>1</v>
      </c>
      <c r="G143" t="s">
        <v>9</v>
      </c>
      <c r="H143" t="s">
        <v>12</v>
      </c>
    </row>
    <row r="144" spans="1:8" x14ac:dyDescent="0.25">
      <c r="A144">
        <v>2025</v>
      </c>
      <c r="B144">
        <v>38</v>
      </c>
      <c r="C144" t="s">
        <v>14</v>
      </c>
      <c r="D144">
        <v>0</v>
      </c>
      <c r="E144">
        <v>0</v>
      </c>
      <c r="F144">
        <v>0</v>
      </c>
      <c r="G144" t="s">
        <v>9</v>
      </c>
      <c r="H144" t="s">
        <v>12</v>
      </c>
    </row>
    <row r="145" spans="1:8" x14ac:dyDescent="0.25">
      <c r="A145">
        <v>2025</v>
      </c>
      <c r="B145">
        <v>39</v>
      </c>
      <c r="C145" t="s">
        <v>14</v>
      </c>
      <c r="D145">
        <v>0</v>
      </c>
      <c r="E145">
        <v>0</v>
      </c>
      <c r="F145">
        <v>0</v>
      </c>
      <c r="G145" t="s">
        <v>9</v>
      </c>
      <c r="H145" t="s">
        <v>12</v>
      </c>
    </row>
    <row r="146" spans="1:8" x14ac:dyDescent="0.25">
      <c r="A146">
        <v>2025</v>
      </c>
      <c r="B146">
        <v>40</v>
      </c>
      <c r="C146" t="s">
        <v>14</v>
      </c>
      <c r="D146">
        <v>4</v>
      </c>
      <c r="E146">
        <v>1</v>
      </c>
      <c r="F146">
        <v>1</v>
      </c>
      <c r="G146" t="s">
        <v>9</v>
      </c>
      <c r="H146" t="s">
        <v>12</v>
      </c>
    </row>
    <row r="147" spans="1:8" x14ac:dyDescent="0.25">
      <c r="A147">
        <v>2025</v>
      </c>
      <c r="B147">
        <v>41</v>
      </c>
      <c r="C147" t="s">
        <v>14</v>
      </c>
      <c r="D147">
        <v>14</v>
      </c>
      <c r="E147">
        <v>2</v>
      </c>
      <c r="F147">
        <v>1</v>
      </c>
      <c r="G147" t="s">
        <v>9</v>
      </c>
      <c r="H147" t="s">
        <v>12</v>
      </c>
    </row>
    <row r="148" spans="1:8" x14ac:dyDescent="0.25">
      <c r="A148">
        <v>2025</v>
      </c>
      <c r="B148">
        <v>42</v>
      </c>
      <c r="C148" t="s">
        <v>14</v>
      </c>
      <c r="D148">
        <v>7</v>
      </c>
      <c r="E148">
        <v>3</v>
      </c>
      <c r="F148">
        <f>2/3</f>
        <v>0.66666666666666663</v>
      </c>
      <c r="G148" t="s">
        <v>9</v>
      </c>
      <c r="H148" t="s">
        <v>10</v>
      </c>
    </row>
    <row r="149" spans="1:8" x14ac:dyDescent="0.25">
      <c r="A149">
        <v>2025</v>
      </c>
      <c r="B149">
        <v>43</v>
      </c>
      <c r="C149" t="s">
        <v>14</v>
      </c>
      <c r="D149">
        <v>0</v>
      </c>
      <c r="E149">
        <v>0</v>
      </c>
      <c r="F149">
        <v>0</v>
      </c>
      <c r="G149" t="s">
        <v>9</v>
      </c>
      <c r="H149" t="s">
        <v>10</v>
      </c>
    </row>
    <row r="150" spans="1:8" x14ac:dyDescent="0.25">
      <c r="A150">
        <v>2025</v>
      </c>
      <c r="B150">
        <v>44</v>
      </c>
      <c r="C150" t="s">
        <v>14</v>
      </c>
      <c r="D150">
        <v>17</v>
      </c>
      <c r="E150">
        <v>3</v>
      </c>
      <c r="F150">
        <f>2/3</f>
        <v>0.66666666666666663</v>
      </c>
      <c r="G150" t="s">
        <v>9</v>
      </c>
      <c r="H150" t="s">
        <v>10</v>
      </c>
    </row>
    <row r="151" spans="1:8" x14ac:dyDescent="0.25">
      <c r="A151">
        <v>2025</v>
      </c>
      <c r="B151">
        <v>45</v>
      </c>
      <c r="C151" t="s">
        <v>14</v>
      </c>
      <c r="D151">
        <v>26</v>
      </c>
      <c r="E151">
        <v>3</v>
      </c>
      <c r="F151">
        <v>1</v>
      </c>
      <c r="G151" t="s">
        <v>9</v>
      </c>
      <c r="H151" t="s">
        <v>10</v>
      </c>
    </row>
    <row r="152" spans="1:8" x14ac:dyDescent="0.25">
      <c r="A152">
        <v>2025</v>
      </c>
      <c r="B152">
        <v>46</v>
      </c>
      <c r="C152" t="s">
        <v>14</v>
      </c>
      <c r="D152">
        <v>31</v>
      </c>
      <c r="E152">
        <v>4</v>
      </c>
      <c r="F152">
        <v>1</v>
      </c>
      <c r="G152" t="s">
        <v>9</v>
      </c>
      <c r="H152" t="s">
        <v>10</v>
      </c>
    </row>
    <row r="153" spans="1:8" x14ac:dyDescent="0.25">
      <c r="A153">
        <v>2025</v>
      </c>
      <c r="B153">
        <v>47</v>
      </c>
      <c r="C153" t="s">
        <v>14</v>
      </c>
      <c r="D153">
        <v>7</v>
      </c>
      <c r="E153">
        <v>2</v>
      </c>
      <c r="F153">
        <v>1</v>
      </c>
      <c r="G153" t="s">
        <v>9</v>
      </c>
      <c r="H153" t="s">
        <v>10</v>
      </c>
    </row>
    <row r="154" spans="1:8" x14ac:dyDescent="0.25">
      <c r="A154">
        <v>2025</v>
      </c>
      <c r="B154">
        <v>48</v>
      </c>
      <c r="C154" t="s">
        <v>14</v>
      </c>
      <c r="D154">
        <v>2</v>
      </c>
      <c r="E154">
        <v>2</v>
      </c>
      <c r="F154">
        <v>1</v>
      </c>
      <c r="G154" t="s">
        <v>9</v>
      </c>
      <c r="H154" t="s">
        <v>10</v>
      </c>
    </row>
    <row r="155" spans="1:8" x14ac:dyDescent="0.25">
      <c r="A155">
        <v>2025</v>
      </c>
      <c r="B155">
        <v>49</v>
      </c>
      <c r="C155" t="s">
        <v>14</v>
      </c>
      <c r="D155">
        <v>6</v>
      </c>
      <c r="E155">
        <v>1</v>
      </c>
      <c r="F155">
        <v>1</v>
      </c>
      <c r="G155" t="s">
        <v>9</v>
      </c>
      <c r="H155" t="s">
        <v>10</v>
      </c>
    </row>
    <row r="156" spans="1:8" x14ac:dyDescent="0.25">
      <c r="A156">
        <v>2025</v>
      </c>
      <c r="B156">
        <v>50</v>
      </c>
      <c r="C156" t="s">
        <v>14</v>
      </c>
      <c r="D156">
        <v>11</v>
      </c>
      <c r="E156">
        <v>2</v>
      </c>
      <c r="F156">
        <v>1</v>
      </c>
      <c r="G156" t="s">
        <v>11</v>
      </c>
      <c r="H156" t="s">
        <v>10</v>
      </c>
    </row>
    <row r="157" spans="1:8" x14ac:dyDescent="0.25">
      <c r="A157">
        <v>2025</v>
      </c>
      <c r="B157">
        <v>51</v>
      </c>
      <c r="C157" t="s">
        <v>14</v>
      </c>
      <c r="D157">
        <v>2</v>
      </c>
      <c r="E157">
        <v>1</v>
      </c>
      <c r="F157">
        <v>1</v>
      </c>
      <c r="G157" t="s">
        <v>11</v>
      </c>
      <c r="H157" t="s">
        <v>10</v>
      </c>
    </row>
    <row r="158" spans="1:8" x14ac:dyDescent="0.25">
      <c r="A158">
        <v>2025</v>
      </c>
      <c r="B158">
        <v>52</v>
      </c>
      <c r="C158" t="s">
        <v>14</v>
      </c>
      <c r="D158">
        <v>46</v>
      </c>
      <c r="E158">
        <v>4</v>
      </c>
      <c r="F158">
        <v>1</v>
      </c>
      <c r="G158" t="s">
        <v>11</v>
      </c>
      <c r="H158" t="s">
        <v>10</v>
      </c>
    </row>
    <row r="159" spans="1:8" x14ac:dyDescent="0.25">
      <c r="A159">
        <v>2025</v>
      </c>
      <c r="B159">
        <v>53</v>
      </c>
      <c r="C159" t="s">
        <v>14</v>
      </c>
      <c r="D159">
        <v>48</v>
      </c>
      <c r="E159">
        <v>1</v>
      </c>
      <c r="F159">
        <v>1</v>
      </c>
      <c r="G159" t="s">
        <v>11</v>
      </c>
      <c r="H159" t="s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16D29-3E45-48B4-9D42-A842B823BFD9}">
  <dimension ref="A1:H159"/>
  <sheetViews>
    <sheetView workbookViewId="0">
      <selection sqref="A1:XFD1048576"/>
    </sheetView>
  </sheetViews>
  <sheetFormatPr baseColWidth="10"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2023</v>
      </c>
      <c r="B2">
        <v>1</v>
      </c>
      <c r="C2" t="s">
        <v>15</v>
      </c>
      <c r="D2">
        <v>0</v>
      </c>
      <c r="E2">
        <v>0</v>
      </c>
      <c r="F2">
        <v>0</v>
      </c>
      <c r="G2" t="s">
        <v>9</v>
      </c>
      <c r="H2" t="s">
        <v>10</v>
      </c>
    </row>
    <row r="3" spans="1:8" x14ac:dyDescent="0.25">
      <c r="A3">
        <v>2023</v>
      </c>
      <c r="B3">
        <v>2</v>
      </c>
      <c r="C3" t="s">
        <v>15</v>
      </c>
      <c r="D3">
        <v>8</v>
      </c>
      <c r="E3">
        <v>2</v>
      </c>
      <c r="F3">
        <v>1</v>
      </c>
      <c r="G3" t="s">
        <v>9</v>
      </c>
      <c r="H3" t="s">
        <v>10</v>
      </c>
    </row>
    <row r="4" spans="1:8" x14ac:dyDescent="0.25">
      <c r="A4">
        <v>2023</v>
      </c>
      <c r="B4">
        <v>3</v>
      </c>
      <c r="C4" t="s">
        <v>15</v>
      </c>
      <c r="D4">
        <v>0</v>
      </c>
      <c r="E4">
        <v>0</v>
      </c>
      <c r="F4">
        <v>0</v>
      </c>
      <c r="G4" t="s">
        <v>9</v>
      </c>
      <c r="H4" t="s">
        <v>10</v>
      </c>
    </row>
    <row r="5" spans="1:8" x14ac:dyDescent="0.25">
      <c r="A5">
        <v>2023</v>
      </c>
      <c r="B5">
        <v>4</v>
      </c>
      <c r="C5" t="s">
        <v>15</v>
      </c>
      <c r="D5">
        <v>0</v>
      </c>
      <c r="E5">
        <v>0</v>
      </c>
      <c r="F5">
        <v>0</v>
      </c>
      <c r="G5" t="s">
        <v>9</v>
      </c>
      <c r="H5" t="s">
        <v>10</v>
      </c>
    </row>
    <row r="6" spans="1:8" x14ac:dyDescent="0.25">
      <c r="A6">
        <v>2023</v>
      </c>
      <c r="B6">
        <v>5</v>
      </c>
      <c r="C6" t="s">
        <v>15</v>
      </c>
      <c r="D6">
        <v>9</v>
      </c>
      <c r="E6">
        <v>3</v>
      </c>
      <c r="F6">
        <v>1</v>
      </c>
      <c r="G6" t="s">
        <v>11</v>
      </c>
      <c r="H6" t="s">
        <v>10</v>
      </c>
    </row>
    <row r="7" spans="1:8" x14ac:dyDescent="0.25">
      <c r="A7">
        <v>2023</v>
      </c>
      <c r="B7">
        <v>6</v>
      </c>
      <c r="C7" t="s">
        <v>15</v>
      </c>
      <c r="D7">
        <v>10</v>
      </c>
      <c r="E7">
        <v>4</v>
      </c>
      <c r="F7">
        <f>3/4</f>
        <v>0.75</v>
      </c>
      <c r="G7" t="s">
        <v>11</v>
      </c>
      <c r="H7" t="s">
        <v>10</v>
      </c>
    </row>
    <row r="8" spans="1:8" x14ac:dyDescent="0.25">
      <c r="A8">
        <v>2023</v>
      </c>
      <c r="B8">
        <v>7</v>
      </c>
      <c r="C8" t="s">
        <v>15</v>
      </c>
      <c r="D8">
        <v>12</v>
      </c>
      <c r="E8">
        <v>2</v>
      </c>
      <c r="F8">
        <v>1</v>
      </c>
      <c r="G8" t="s">
        <v>11</v>
      </c>
      <c r="H8" t="s">
        <v>10</v>
      </c>
    </row>
    <row r="9" spans="1:8" x14ac:dyDescent="0.25">
      <c r="A9">
        <v>2023</v>
      </c>
      <c r="B9">
        <v>8</v>
      </c>
      <c r="C9" t="s">
        <v>15</v>
      </c>
      <c r="D9">
        <v>0</v>
      </c>
      <c r="E9">
        <v>0</v>
      </c>
      <c r="F9">
        <v>0</v>
      </c>
      <c r="G9" t="s">
        <v>11</v>
      </c>
      <c r="H9" t="s">
        <v>10</v>
      </c>
    </row>
    <row r="10" spans="1:8" x14ac:dyDescent="0.25">
      <c r="A10">
        <v>2023</v>
      </c>
      <c r="B10">
        <v>9</v>
      </c>
      <c r="C10" t="s">
        <v>15</v>
      </c>
      <c r="D10">
        <v>18</v>
      </c>
      <c r="E10">
        <v>2</v>
      </c>
      <c r="F10">
        <v>1</v>
      </c>
      <c r="G10" t="s">
        <v>9</v>
      </c>
      <c r="H10" t="s">
        <v>10</v>
      </c>
    </row>
    <row r="11" spans="1:8" x14ac:dyDescent="0.25">
      <c r="A11">
        <v>2023</v>
      </c>
      <c r="B11">
        <v>10</v>
      </c>
      <c r="C11" t="s">
        <v>15</v>
      </c>
      <c r="D11">
        <v>8</v>
      </c>
      <c r="E11">
        <v>3</v>
      </c>
      <c r="F11">
        <v>1</v>
      </c>
      <c r="G11" t="s">
        <v>9</v>
      </c>
      <c r="H11" t="s">
        <v>10</v>
      </c>
    </row>
    <row r="12" spans="1:8" x14ac:dyDescent="0.25">
      <c r="A12">
        <v>2023</v>
      </c>
      <c r="B12">
        <v>11</v>
      </c>
      <c r="C12" t="s">
        <v>15</v>
      </c>
      <c r="D12">
        <v>1</v>
      </c>
      <c r="E12">
        <v>1</v>
      </c>
      <c r="F12">
        <v>1</v>
      </c>
      <c r="G12" t="s">
        <v>9</v>
      </c>
      <c r="H12" t="s">
        <v>10</v>
      </c>
    </row>
    <row r="13" spans="1:8" x14ac:dyDescent="0.25">
      <c r="A13">
        <v>2023</v>
      </c>
      <c r="B13">
        <v>12</v>
      </c>
      <c r="C13" t="s">
        <v>15</v>
      </c>
      <c r="D13">
        <v>15</v>
      </c>
      <c r="E13">
        <v>3</v>
      </c>
      <c r="F13">
        <v>1</v>
      </c>
      <c r="G13" t="s">
        <v>9</v>
      </c>
      <c r="H13" t="s">
        <v>10</v>
      </c>
    </row>
    <row r="14" spans="1:8" x14ac:dyDescent="0.25">
      <c r="A14">
        <v>2023</v>
      </c>
      <c r="B14">
        <v>13</v>
      </c>
      <c r="C14" t="s">
        <v>15</v>
      </c>
      <c r="D14">
        <v>48</v>
      </c>
      <c r="E14">
        <v>7</v>
      </c>
      <c r="F14">
        <f>5/7</f>
        <v>0.7142857142857143</v>
      </c>
      <c r="G14" t="s">
        <v>9</v>
      </c>
      <c r="H14" t="s">
        <v>10</v>
      </c>
    </row>
    <row r="15" spans="1:8" x14ac:dyDescent="0.25">
      <c r="A15">
        <v>2023</v>
      </c>
      <c r="B15">
        <v>14</v>
      </c>
      <c r="C15" t="s">
        <v>15</v>
      </c>
      <c r="D15">
        <v>13</v>
      </c>
      <c r="E15">
        <v>4</v>
      </c>
      <c r="F15">
        <v>1</v>
      </c>
      <c r="G15" t="s">
        <v>11</v>
      </c>
      <c r="H15" t="s">
        <v>12</v>
      </c>
    </row>
    <row r="16" spans="1:8" x14ac:dyDescent="0.25">
      <c r="A16">
        <v>2023</v>
      </c>
      <c r="B16">
        <v>15</v>
      </c>
      <c r="C16" t="s">
        <v>15</v>
      </c>
      <c r="D16">
        <v>8</v>
      </c>
      <c r="E16">
        <v>2</v>
      </c>
      <c r="F16">
        <v>1</v>
      </c>
      <c r="G16" t="s">
        <v>9</v>
      </c>
      <c r="H16" t="s">
        <v>12</v>
      </c>
    </row>
    <row r="17" spans="1:8" x14ac:dyDescent="0.25">
      <c r="A17">
        <v>2023</v>
      </c>
      <c r="B17">
        <v>16</v>
      </c>
      <c r="C17" t="s">
        <v>15</v>
      </c>
      <c r="D17">
        <v>18</v>
      </c>
      <c r="E17">
        <v>2</v>
      </c>
      <c r="F17">
        <v>1</v>
      </c>
      <c r="G17" t="s">
        <v>9</v>
      </c>
      <c r="H17" t="s">
        <v>12</v>
      </c>
    </row>
    <row r="18" spans="1:8" x14ac:dyDescent="0.25">
      <c r="A18">
        <v>2023</v>
      </c>
      <c r="B18">
        <v>17</v>
      </c>
      <c r="C18" t="s">
        <v>15</v>
      </c>
      <c r="D18">
        <v>2</v>
      </c>
      <c r="E18">
        <v>2</v>
      </c>
      <c r="F18">
        <v>0.5</v>
      </c>
      <c r="G18" t="s">
        <v>9</v>
      </c>
      <c r="H18" t="s">
        <v>12</v>
      </c>
    </row>
    <row r="19" spans="1:8" x14ac:dyDescent="0.25">
      <c r="A19">
        <v>2023</v>
      </c>
      <c r="B19">
        <v>18</v>
      </c>
      <c r="C19" t="s">
        <v>15</v>
      </c>
      <c r="D19">
        <v>7</v>
      </c>
      <c r="E19">
        <v>3</v>
      </c>
      <c r="F19">
        <f>2/3</f>
        <v>0.66666666666666663</v>
      </c>
      <c r="G19" t="s">
        <v>9</v>
      </c>
      <c r="H19" t="s">
        <v>12</v>
      </c>
    </row>
    <row r="20" spans="1:8" x14ac:dyDescent="0.25">
      <c r="A20">
        <v>2023</v>
      </c>
      <c r="B20">
        <v>19</v>
      </c>
      <c r="C20" t="s">
        <v>15</v>
      </c>
      <c r="D20">
        <v>18</v>
      </c>
      <c r="E20">
        <v>6</v>
      </c>
      <c r="F20">
        <v>1</v>
      </c>
      <c r="G20" t="s">
        <v>11</v>
      </c>
      <c r="H20" t="s">
        <v>12</v>
      </c>
    </row>
    <row r="21" spans="1:8" x14ac:dyDescent="0.25">
      <c r="A21">
        <v>2023</v>
      </c>
      <c r="B21">
        <v>20</v>
      </c>
      <c r="C21" t="s">
        <v>15</v>
      </c>
      <c r="D21">
        <v>2</v>
      </c>
      <c r="E21">
        <v>2</v>
      </c>
      <c r="F21">
        <v>1</v>
      </c>
      <c r="G21" t="s">
        <v>9</v>
      </c>
      <c r="H21" t="s">
        <v>12</v>
      </c>
    </row>
    <row r="22" spans="1:8" x14ac:dyDescent="0.25">
      <c r="A22">
        <v>2023</v>
      </c>
      <c r="B22">
        <v>21</v>
      </c>
      <c r="C22" t="s">
        <v>15</v>
      </c>
      <c r="D22">
        <v>12</v>
      </c>
      <c r="E22">
        <v>2</v>
      </c>
      <c r="F22">
        <v>1</v>
      </c>
      <c r="G22" t="s">
        <v>9</v>
      </c>
      <c r="H22" t="s">
        <v>12</v>
      </c>
    </row>
    <row r="23" spans="1:8" x14ac:dyDescent="0.25">
      <c r="A23">
        <v>2023</v>
      </c>
      <c r="B23">
        <v>22</v>
      </c>
      <c r="C23" t="s">
        <v>15</v>
      </c>
      <c r="D23">
        <v>9</v>
      </c>
      <c r="E23">
        <v>4</v>
      </c>
      <c r="F23">
        <v>1</v>
      </c>
      <c r="G23" t="s">
        <v>9</v>
      </c>
      <c r="H23" t="s">
        <v>12</v>
      </c>
    </row>
    <row r="24" spans="1:8" x14ac:dyDescent="0.25">
      <c r="A24">
        <v>2023</v>
      </c>
      <c r="B24">
        <v>23</v>
      </c>
      <c r="C24" t="s">
        <v>15</v>
      </c>
      <c r="D24">
        <v>12</v>
      </c>
      <c r="E24">
        <v>4</v>
      </c>
      <c r="F24">
        <v>1</v>
      </c>
      <c r="G24" t="s">
        <v>9</v>
      </c>
      <c r="H24" t="s">
        <v>12</v>
      </c>
    </row>
    <row r="25" spans="1:8" x14ac:dyDescent="0.25">
      <c r="A25">
        <v>2023</v>
      </c>
      <c r="B25">
        <v>24</v>
      </c>
      <c r="C25" t="s">
        <v>15</v>
      </c>
      <c r="D25">
        <v>4</v>
      </c>
      <c r="E25">
        <v>3</v>
      </c>
      <c r="F25">
        <f>2/3</f>
        <v>0.66666666666666663</v>
      </c>
      <c r="G25" t="s">
        <v>11</v>
      </c>
      <c r="H25" t="s">
        <v>12</v>
      </c>
    </row>
    <row r="26" spans="1:8" x14ac:dyDescent="0.25">
      <c r="A26">
        <v>2023</v>
      </c>
      <c r="B26">
        <v>25</v>
      </c>
      <c r="C26" t="s">
        <v>15</v>
      </c>
      <c r="D26">
        <v>0</v>
      </c>
      <c r="E26">
        <v>0</v>
      </c>
      <c r="F26">
        <v>0</v>
      </c>
      <c r="G26" t="s">
        <v>9</v>
      </c>
      <c r="H26" t="s">
        <v>12</v>
      </c>
    </row>
    <row r="27" spans="1:8" x14ac:dyDescent="0.25">
      <c r="A27">
        <v>2023</v>
      </c>
      <c r="B27">
        <v>26</v>
      </c>
      <c r="C27" t="s">
        <v>15</v>
      </c>
      <c r="D27">
        <v>5</v>
      </c>
      <c r="E27">
        <v>2</v>
      </c>
      <c r="F27">
        <v>1</v>
      </c>
      <c r="G27" t="s">
        <v>9</v>
      </c>
      <c r="H27" t="s">
        <v>12</v>
      </c>
    </row>
    <row r="28" spans="1:8" x14ac:dyDescent="0.25">
      <c r="A28">
        <v>2023</v>
      </c>
      <c r="B28">
        <v>27</v>
      </c>
      <c r="C28" t="s">
        <v>15</v>
      </c>
      <c r="D28">
        <v>2</v>
      </c>
      <c r="E28">
        <v>2</v>
      </c>
      <c r="F28">
        <v>0.5</v>
      </c>
      <c r="G28" t="s">
        <v>9</v>
      </c>
      <c r="H28" t="s">
        <v>12</v>
      </c>
    </row>
    <row r="29" spans="1:8" x14ac:dyDescent="0.25">
      <c r="A29">
        <v>2023</v>
      </c>
      <c r="B29">
        <v>28</v>
      </c>
      <c r="C29" t="s">
        <v>15</v>
      </c>
      <c r="D29">
        <v>7</v>
      </c>
      <c r="E29">
        <v>3</v>
      </c>
      <c r="F29">
        <v>1</v>
      </c>
      <c r="G29" t="s">
        <v>9</v>
      </c>
      <c r="H29" t="s">
        <v>12</v>
      </c>
    </row>
    <row r="30" spans="1:8" x14ac:dyDescent="0.25">
      <c r="A30">
        <v>2023</v>
      </c>
      <c r="B30">
        <v>29</v>
      </c>
      <c r="C30" t="s">
        <v>15</v>
      </c>
      <c r="D30">
        <v>7</v>
      </c>
      <c r="E30">
        <v>2</v>
      </c>
      <c r="F30">
        <v>1</v>
      </c>
      <c r="G30" t="s">
        <v>11</v>
      </c>
      <c r="H30" t="s">
        <v>12</v>
      </c>
    </row>
    <row r="31" spans="1:8" x14ac:dyDescent="0.25">
      <c r="A31">
        <v>2023</v>
      </c>
      <c r="B31">
        <v>30</v>
      </c>
      <c r="C31" t="s">
        <v>15</v>
      </c>
      <c r="D31">
        <v>36</v>
      </c>
      <c r="E31">
        <v>9</v>
      </c>
      <c r="F31">
        <v>1</v>
      </c>
      <c r="G31" t="s">
        <v>11</v>
      </c>
      <c r="H31" t="s">
        <v>12</v>
      </c>
    </row>
    <row r="32" spans="1:8" x14ac:dyDescent="0.25">
      <c r="A32">
        <v>2023</v>
      </c>
      <c r="B32">
        <v>31</v>
      </c>
      <c r="C32" t="s">
        <v>15</v>
      </c>
      <c r="D32">
        <v>9</v>
      </c>
      <c r="E32">
        <v>3</v>
      </c>
      <c r="F32">
        <v>1</v>
      </c>
      <c r="G32" t="s">
        <v>11</v>
      </c>
      <c r="H32" t="s">
        <v>12</v>
      </c>
    </row>
    <row r="33" spans="1:8" x14ac:dyDescent="0.25">
      <c r="A33">
        <v>2023</v>
      </c>
      <c r="B33">
        <v>32</v>
      </c>
      <c r="C33" t="s">
        <v>15</v>
      </c>
      <c r="D33">
        <v>17</v>
      </c>
      <c r="E33">
        <v>4</v>
      </c>
      <c r="F33">
        <f>3/4</f>
        <v>0.75</v>
      </c>
      <c r="G33" t="s">
        <v>9</v>
      </c>
      <c r="H33" t="s">
        <v>12</v>
      </c>
    </row>
    <row r="34" spans="1:8" x14ac:dyDescent="0.25">
      <c r="A34">
        <v>2023</v>
      </c>
      <c r="B34">
        <v>33</v>
      </c>
      <c r="C34" t="s">
        <v>15</v>
      </c>
      <c r="D34">
        <v>21</v>
      </c>
      <c r="E34">
        <v>7</v>
      </c>
      <c r="F34">
        <f>6/7</f>
        <v>0.8571428571428571</v>
      </c>
      <c r="G34" t="s">
        <v>9</v>
      </c>
      <c r="H34" t="s">
        <v>12</v>
      </c>
    </row>
    <row r="35" spans="1:8" x14ac:dyDescent="0.25">
      <c r="A35">
        <v>2023</v>
      </c>
      <c r="B35">
        <v>34</v>
      </c>
      <c r="C35" t="s">
        <v>15</v>
      </c>
      <c r="D35">
        <v>9</v>
      </c>
      <c r="E35">
        <v>3</v>
      </c>
      <c r="F35">
        <f>2/3</f>
        <v>0.66666666666666663</v>
      </c>
      <c r="G35" t="s">
        <v>9</v>
      </c>
      <c r="H35" t="s">
        <v>12</v>
      </c>
    </row>
    <row r="36" spans="1:8" x14ac:dyDescent="0.25">
      <c r="A36">
        <v>2023</v>
      </c>
      <c r="B36">
        <v>35</v>
      </c>
      <c r="C36" t="s">
        <v>15</v>
      </c>
      <c r="D36">
        <v>12</v>
      </c>
      <c r="E36">
        <v>4</v>
      </c>
      <c r="F36">
        <f>3/4</f>
        <v>0.75</v>
      </c>
      <c r="G36" t="s">
        <v>9</v>
      </c>
      <c r="H36" t="s">
        <v>12</v>
      </c>
    </row>
    <row r="37" spans="1:8" x14ac:dyDescent="0.25">
      <c r="A37">
        <v>2023</v>
      </c>
      <c r="B37">
        <v>36</v>
      </c>
      <c r="C37" t="s">
        <v>15</v>
      </c>
      <c r="D37">
        <v>25</v>
      </c>
      <c r="E37">
        <v>5</v>
      </c>
      <c r="F37">
        <v>1</v>
      </c>
      <c r="G37" t="s">
        <v>9</v>
      </c>
      <c r="H37" t="s">
        <v>12</v>
      </c>
    </row>
    <row r="38" spans="1:8" x14ac:dyDescent="0.25">
      <c r="A38">
        <v>2023</v>
      </c>
      <c r="B38">
        <v>37</v>
      </c>
      <c r="C38" t="s">
        <v>15</v>
      </c>
      <c r="D38">
        <v>17</v>
      </c>
      <c r="E38">
        <v>3</v>
      </c>
      <c r="F38">
        <v>1</v>
      </c>
      <c r="G38" t="s">
        <v>9</v>
      </c>
      <c r="H38" t="s">
        <v>12</v>
      </c>
    </row>
    <row r="39" spans="1:8" x14ac:dyDescent="0.25">
      <c r="A39">
        <v>2023</v>
      </c>
      <c r="B39">
        <v>38</v>
      </c>
      <c r="C39" t="s">
        <v>15</v>
      </c>
      <c r="D39">
        <v>3</v>
      </c>
      <c r="E39">
        <v>2</v>
      </c>
      <c r="F39">
        <v>1</v>
      </c>
      <c r="G39" t="s">
        <v>9</v>
      </c>
      <c r="H39" t="s">
        <v>12</v>
      </c>
    </row>
    <row r="40" spans="1:8" x14ac:dyDescent="0.25">
      <c r="A40">
        <v>2023</v>
      </c>
      <c r="B40">
        <v>39</v>
      </c>
      <c r="C40" t="s">
        <v>15</v>
      </c>
      <c r="D40">
        <v>1</v>
      </c>
      <c r="E40">
        <v>1</v>
      </c>
      <c r="F40">
        <v>0</v>
      </c>
      <c r="G40" t="s">
        <v>9</v>
      </c>
      <c r="H40" t="s">
        <v>12</v>
      </c>
    </row>
    <row r="41" spans="1:8" x14ac:dyDescent="0.25">
      <c r="A41">
        <v>2023</v>
      </c>
      <c r="B41">
        <v>40</v>
      </c>
      <c r="C41" t="s">
        <v>15</v>
      </c>
      <c r="D41">
        <v>3</v>
      </c>
      <c r="E41">
        <v>1</v>
      </c>
      <c r="F41">
        <v>1</v>
      </c>
      <c r="G41" t="s">
        <v>9</v>
      </c>
      <c r="H41" t="s">
        <v>12</v>
      </c>
    </row>
    <row r="42" spans="1:8" x14ac:dyDescent="0.25">
      <c r="A42">
        <v>2023</v>
      </c>
      <c r="B42">
        <v>41</v>
      </c>
      <c r="C42" t="s">
        <v>15</v>
      </c>
      <c r="D42">
        <v>5</v>
      </c>
      <c r="E42">
        <v>3</v>
      </c>
      <c r="F42">
        <v>1</v>
      </c>
      <c r="G42" t="s">
        <v>9</v>
      </c>
      <c r="H42" t="s">
        <v>12</v>
      </c>
    </row>
    <row r="43" spans="1:8" x14ac:dyDescent="0.25">
      <c r="A43">
        <v>2023</v>
      </c>
      <c r="B43">
        <v>42</v>
      </c>
      <c r="C43" t="s">
        <v>15</v>
      </c>
      <c r="D43">
        <v>9</v>
      </c>
      <c r="E43">
        <v>5</v>
      </c>
      <c r="F43">
        <v>1</v>
      </c>
      <c r="G43" t="s">
        <v>9</v>
      </c>
      <c r="H43" t="s">
        <v>12</v>
      </c>
    </row>
    <row r="44" spans="1:8" x14ac:dyDescent="0.25">
      <c r="A44">
        <v>2023</v>
      </c>
      <c r="B44">
        <v>43</v>
      </c>
      <c r="C44" t="s">
        <v>15</v>
      </c>
      <c r="D44">
        <v>1</v>
      </c>
      <c r="E44">
        <v>1</v>
      </c>
      <c r="F44">
        <v>1</v>
      </c>
      <c r="G44" t="s">
        <v>9</v>
      </c>
      <c r="H44" t="s">
        <v>12</v>
      </c>
    </row>
    <row r="45" spans="1:8" x14ac:dyDescent="0.25">
      <c r="A45">
        <v>2023</v>
      </c>
      <c r="B45">
        <v>44</v>
      </c>
      <c r="C45" t="s">
        <v>15</v>
      </c>
      <c r="D45">
        <v>4</v>
      </c>
      <c r="E45">
        <v>1</v>
      </c>
      <c r="F45">
        <v>1</v>
      </c>
      <c r="G45" t="s">
        <v>9</v>
      </c>
      <c r="H45" t="s">
        <v>12</v>
      </c>
    </row>
    <row r="46" spans="1:8" x14ac:dyDescent="0.25">
      <c r="A46">
        <v>2023</v>
      </c>
      <c r="B46">
        <v>45</v>
      </c>
      <c r="C46" t="s">
        <v>15</v>
      </c>
      <c r="D46">
        <v>0</v>
      </c>
      <c r="E46">
        <v>0</v>
      </c>
      <c r="F46">
        <v>0</v>
      </c>
      <c r="G46" t="s">
        <v>9</v>
      </c>
      <c r="H46" t="s">
        <v>10</v>
      </c>
    </row>
    <row r="47" spans="1:8" x14ac:dyDescent="0.25">
      <c r="A47">
        <v>2023</v>
      </c>
      <c r="B47">
        <v>46</v>
      </c>
      <c r="C47" t="s">
        <v>15</v>
      </c>
      <c r="D47">
        <v>9</v>
      </c>
      <c r="E47">
        <v>4</v>
      </c>
      <c r="F47">
        <v>1</v>
      </c>
      <c r="G47" t="s">
        <v>9</v>
      </c>
      <c r="H47" t="s">
        <v>10</v>
      </c>
    </row>
    <row r="48" spans="1:8" x14ac:dyDescent="0.25">
      <c r="A48">
        <v>2023</v>
      </c>
      <c r="B48">
        <v>47</v>
      </c>
      <c r="C48" t="s">
        <v>15</v>
      </c>
      <c r="D48">
        <v>4</v>
      </c>
      <c r="E48">
        <v>2</v>
      </c>
      <c r="F48">
        <v>0.5</v>
      </c>
      <c r="G48" t="s">
        <v>9</v>
      </c>
      <c r="H48" t="s">
        <v>10</v>
      </c>
    </row>
    <row r="49" spans="1:8" x14ac:dyDescent="0.25">
      <c r="A49">
        <v>2023</v>
      </c>
      <c r="B49">
        <v>48</v>
      </c>
      <c r="C49" t="s">
        <v>15</v>
      </c>
      <c r="D49">
        <v>4</v>
      </c>
      <c r="E49">
        <v>2</v>
      </c>
      <c r="F49">
        <v>1</v>
      </c>
      <c r="G49" t="s">
        <v>9</v>
      </c>
      <c r="H49" t="s">
        <v>10</v>
      </c>
    </row>
    <row r="50" spans="1:8" x14ac:dyDescent="0.25">
      <c r="A50">
        <v>2023</v>
      </c>
      <c r="B50">
        <v>49</v>
      </c>
      <c r="C50" t="s">
        <v>15</v>
      </c>
      <c r="D50">
        <v>36</v>
      </c>
      <c r="E50">
        <v>2</v>
      </c>
      <c r="F50">
        <v>1</v>
      </c>
      <c r="G50" t="s">
        <v>9</v>
      </c>
      <c r="H50" t="s">
        <v>10</v>
      </c>
    </row>
    <row r="51" spans="1:8" x14ac:dyDescent="0.25">
      <c r="A51">
        <v>2023</v>
      </c>
      <c r="B51">
        <v>50</v>
      </c>
      <c r="C51" t="s">
        <v>15</v>
      </c>
      <c r="D51">
        <v>2</v>
      </c>
      <c r="E51">
        <v>1</v>
      </c>
      <c r="F51">
        <v>1</v>
      </c>
      <c r="G51" t="s">
        <v>11</v>
      </c>
      <c r="H51" t="s">
        <v>10</v>
      </c>
    </row>
    <row r="52" spans="1:8" x14ac:dyDescent="0.25">
      <c r="A52">
        <v>2023</v>
      </c>
      <c r="B52">
        <v>51</v>
      </c>
      <c r="C52" t="s">
        <v>15</v>
      </c>
      <c r="D52">
        <v>1</v>
      </c>
      <c r="E52">
        <v>1</v>
      </c>
      <c r="F52">
        <v>1</v>
      </c>
      <c r="G52" t="s">
        <v>11</v>
      </c>
      <c r="H52" t="s">
        <v>10</v>
      </c>
    </row>
    <row r="53" spans="1:8" x14ac:dyDescent="0.25">
      <c r="A53">
        <v>2023</v>
      </c>
      <c r="B53">
        <v>52</v>
      </c>
      <c r="C53" t="s">
        <v>15</v>
      </c>
      <c r="D53">
        <v>26</v>
      </c>
      <c r="E53">
        <v>3</v>
      </c>
      <c r="F53">
        <v>1</v>
      </c>
      <c r="G53" t="s">
        <v>11</v>
      </c>
      <c r="H53" t="s">
        <v>10</v>
      </c>
    </row>
    <row r="54" spans="1:8" x14ac:dyDescent="0.25">
      <c r="A54">
        <v>2024</v>
      </c>
      <c r="B54">
        <v>1</v>
      </c>
      <c r="C54" t="s">
        <v>15</v>
      </c>
      <c r="D54">
        <v>4</v>
      </c>
      <c r="E54">
        <v>2</v>
      </c>
      <c r="F54">
        <v>1</v>
      </c>
      <c r="G54" t="s">
        <v>9</v>
      </c>
      <c r="H54" t="s">
        <v>10</v>
      </c>
    </row>
    <row r="55" spans="1:8" x14ac:dyDescent="0.25">
      <c r="A55">
        <v>2024</v>
      </c>
      <c r="B55">
        <v>2</v>
      </c>
      <c r="C55" t="s">
        <v>15</v>
      </c>
      <c r="D55">
        <v>23</v>
      </c>
      <c r="E55">
        <v>2</v>
      </c>
      <c r="F55">
        <v>1</v>
      </c>
      <c r="G55" t="s">
        <v>9</v>
      </c>
      <c r="H55" t="s">
        <v>10</v>
      </c>
    </row>
    <row r="56" spans="1:8" x14ac:dyDescent="0.25">
      <c r="A56">
        <v>2024</v>
      </c>
      <c r="B56">
        <v>3</v>
      </c>
      <c r="C56" t="s">
        <v>15</v>
      </c>
      <c r="D56">
        <v>3</v>
      </c>
      <c r="E56">
        <v>2</v>
      </c>
      <c r="F56">
        <v>1</v>
      </c>
      <c r="G56" t="s">
        <v>9</v>
      </c>
      <c r="H56" t="s">
        <v>10</v>
      </c>
    </row>
    <row r="57" spans="1:8" x14ac:dyDescent="0.25">
      <c r="A57">
        <v>2024</v>
      </c>
      <c r="B57">
        <v>4</v>
      </c>
      <c r="C57" t="s">
        <v>15</v>
      </c>
      <c r="D57">
        <v>25</v>
      </c>
      <c r="E57">
        <v>3</v>
      </c>
      <c r="F57">
        <v>1</v>
      </c>
      <c r="G57" t="s">
        <v>9</v>
      </c>
      <c r="H57" t="s">
        <v>10</v>
      </c>
    </row>
    <row r="58" spans="1:8" x14ac:dyDescent="0.25">
      <c r="A58">
        <v>2024</v>
      </c>
      <c r="B58">
        <v>5</v>
      </c>
      <c r="C58" t="s">
        <v>15</v>
      </c>
      <c r="D58">
        <v>21</v>
      </c>
      <c r="E58">
        <v>5</v>
      </c>
      <c r="F58">
        <f>4/5</f>
        <v>0.8</v>
      </c>
      <c r="G58" t="s">
        <v>9</v>
      </c>
      <c r="H58" t="s">
        <v>10</v>
      </c>
    </row>
    <row r="59" spans="1:8" x14ac:dyDescent="0.25">
      <c r="A59">
        <v>2024</v>
      </c>
      <c r="B59">
        <v>6</v>
      </c>
      <c r="C59" t="s">
        <v>15</v>
      </c>
      <c r="D59">
        <v>13</v>
      </c>
      <c r="E59">
        <v>2</v>
      </c>
      <c r="F59">
        <v>1</v>
      </c>
      <c r="G59" t="s">
        <v>9</v>
      </c>
      <c r="H59" t="s">
        <v>10</v>
      </c>
    </row>
    <row r="60" spans="1:8" x14ac:dyDescent="0.25">
      <c r="A60">
        <v>2024</v>
      </c>
      <c r="B60">
        <v>7</v>
      </c>
      <c r="C60" t="s">
        <v>15</v>
      </c>
      <c r="D60">
        <v>29</v>
      </c>
      <c r="E60">
        <v>8</v>
      </c>
      <c r="F60">
        <v>1</v>
      </c>
      <c r="G60" t="s">
        <v>11</v>
      </c>
      <c r="H60" t="s">
        <v>10</v>
      </c>
    </row>
    <row r="61" spans="1:8" x14ac:dyDescent="0.25">
      <c r="A61">
        <v>2024</v>
      </c>
      <c r="B61">
        <v>8</v>
      </c>
      <c r="C61" t="s">
        <v>15</v>
      </c>
      <c r="D61">
        <v>22</v>
      </c>
      <c r="E61">
        <v>3</v>
      </c>
      <c r="F61">
        <v>1</v>
      </c>
      <c r="G61" t="s">
        <v>9</v>
      </c>
      <c r="H61" t="s">
        <v>10</v>
      </c>
    </row>
    <row r="62" spans="1:8" x14ac:dyDescent="0.25">
      <c r="A62">
        <v>2024</v>
      </c>
      <c r="B62">
        <v>9</v>
      </c>
      <c r="C62" t="s">
        <v>15</v>
      </c>
      <c r="D62">
        <v>22</v>
      </c>
      <c r="E62">
        <v>7</v>
      </c>
      <c r="F62">
        <f>6/7</f>
        <v>0.8571428571428571</v>
      </c>
      <c r="G62" t="s">
        <v>9</v>
      </c>
      <c r="H62" t="s">
        <v>10</v>
      </c>
    </row>
    <row r="63" spans="1:8" x14ac:dyDescent="0.25">
      <c r="A63">
        <v>2024</v>
      </c>
      <c r="B63">
        <v>10</v>
      </c>
      <c r="C63" t="s">
        <v>15</v>
      </c>
      <c r="D63">
        <v>12</v>
      </c>
      <c r="E63">
        <v>5</v>
      </c>
      <c r="F63">
        <f>4/5</f>
        <v>0.8</v>
      </c>
      <c r="G63" t="s">
        <v>9</v>
      </c>
      <c r="H63" t="s">
        <v>10</v>
      </c>
    </row>
    <row r="64" spans="1:8" x14ac:dyDescent="0.25">
      <c r="A64">
        <v>2024</v>
      </c>
      <c r="B64">
        <v>11</v>
      </c>
      <c r="C64" t="s">
        <v>15</v>
      </c>
      <c r="D64">
        <v>1</v>
      </c>
      <c r="E64">
        <v>1</v>
      </c>
      <c r="F64">
        <v>1</v>
      </c>
      <c r="G64" t="s">
        <v>9</v>
      </c>
      <c r="H64" t="s">
        <v>10</v>
      </c>
    </row>
    <row r="65" spans="1:8" x14ac:dyDescent="0.25">
      <c r="A65">
        <v>2024</v>
      </c>
      <c r="B65">
        <v>12</v>
      </c>
      <c r="C65" t="s">
        <v>15</v>
      </c>
      <c r="D65">
        <v>61</v>
      </c>
      <c r="E65">
        <v>2</v>
      </c>
      <c r="F65">
        <v>1</v>
      </c>
      <c r="G65" t="s">
        <v>9</v>
      </c>
      <c r="H65" t="s">
        <v>10</v>
      </c>
    </row>
    <row r="66" spans="1:8" x14ac:dyDescent="0.25">
      <c r="A66">
        <v>2024</v>
      </c>
      <c r="B66">
        <v>13</v>
      </c>
      <c r="C66" t="s">
        <v>15</v>
      </c>
      <c r="D66">
        <v>25</v>
      </c>
      <c r="E66">
        <v>9</v>
      </c>
      <c r="F66">
        <f>7/9</f>
        <v>0.77777777777777779</v>
      </c>
      <c r="G66" t="s">
        <v>11</v>
      </c>
      <c r="H66" t="s">
        <v>10</v>
      </c>
    </row>
    <row r="67" spans="1:8" x14ac:dyDescent="0.25">
      <c r="A67">
        <v>2024</v>
      </c>
      <c r="B67">
        <v>14</v>
      </c>
      <c r="C67" t="s">
        <v>15</v>
      </c>
      <c r="D67">
        <v>0</v>
      </c>
      <c r="E67">
        <v>0</v>
      </c>
      <c r="F67">
        <v>0</v>
      </c>
      <c r="G67" t="s">
        <v>9</v>
      </c>
      <c r="H67" t="s">
        <v>10</v>
      </c>
    </row>
    <row r="68" spans="1:8" x14ac:dyDescent="0.25">
      <c r="A68">
        <v>2024</v>
      </c>
      <c r="B68">
        <v>15</v>
      </c>
      <c r="C68" t="s">
        <v>15</v>
      </c>
      <c r="D68">
        <v>12</v>
      </c>
      <c r="E68">
        <v>4</v>
      </c>
      <c r="F68">
        <v>1</v>
      </c>
      <c r="G68" t="s">
        <v>9</v>
      </c>
      <c r="H68" t="s">
        <v>10</v>
      </c>
    </row>
    <row r="69" spans="1:8" x14ac:dyDescent="0.25">
      <c r="A69">
        <v>2024</v>
      </c>
      <c r="B69">
        <v>16</v>
      </c>
      <c r="C69" t="s">
        <v>15</v>
      </c>
      <c r="D69">
        <v>54</v>
      </c>
      <c r="E69">
        <v>3</v>
      </c>
      <c r="F69">
        <v>1</v>
      </c>
      <c r="G69" t="s">
        <v>11</v>
      </c>
      <c r="H69" t="s">
        <v>10</v>
      </c>
    </row>
    <row r="70" spans="1:8" x14ac:dyDescent="0.25">
      <c r="A70">
        <v>2024</v>
      </c>
      <c r="B70">
        <v>17</v>
      </c>
      <c r="C70" t="s">
        <v>15</v>
      </c>
      <c r="D70">
        <v>15</v>
      </c>
      <c r="E70">
        <v>7</v>
      </c>
      <c r="F70">
        <v>1</v>
      </c>
      <c r="G70" t="s">
        <v>9</v>
      </c>
      <c r="H70" t="s">
        <v>12</v>
      </c>
    </row>
    <row r="71" spans="1:8" x14ac:dyDescent="0.25">
      <c r="A71">
        <v>2024</v>
      </c>
      <c r="B71">
        <v>18</v>
      </c>
      <c r="C71" t="s">
        <v>15</v>
      </c>
      <c r="D71">
        <v>2</v>
      </c>
      <c r="E71">
        <v>1</v>
      </c>
      <c r="F71">
        <v>1</v>
      </c>
      <c r="G71" t="s">
        <v>9</v>
      </c>
      <c r="H71" t="s">
        <v>12</v>
      </c>
    </row>
    <row r="72" spans="1:8" x14ac:dyDescent="0.25">
      <c r="A72">
        <v>2024</v>
      </c>
      <c r="B72">
        <v>19</v>
      </c>
      <c r="C72" t="s">
        <v>15</v>
      </c>
      <c r="D72">
        <v>1</v>
      </c>
      <c r="E72">
        <v>1</v>
      </c>
      <c r="F72">
        <v>1</v>
      </c>
      <c r="G72" t="s">
        <v>11</v>
      </c>
      <c r="H72" t="s">
        <v>12</v>
      </c>
    </row>
    <row r="73" spans="1:8" x14ac:dyDescent="0.25">
      <c r="A73">
        <v>2024</v>
      </c>
      <c r="B73">
        <v>20</v>
      </c>
      <c r="C73" t="s">
        <v>15</v>
      </c>
      <c r="D73">
        <v>8</v>
      </c>
      <c r="E73">
        <v>4</v>
      </c>
      <c r="F73">
        <v>1</v>
      </c>
      <c r="G73" t="s">
        <v>9</v>
      </c>
      <c r="H73" t="s">
        <v>12</v>
      </c>
    </row>
    <row r="74" spans="1:8" x14ac:dyDescent="0.25">
      <c r="A74">
        <v>2024</v>
      </c>
      <c r="B74">
        <v>21</v>
      </c>
      <c r="C74" t="s">
        <v>15</v>
      </c>
      <c r="D74">
        <v>5</v>
      </c>
      <c r="E74">
        <v>3</v>
      </c>
      <c r="F74">
        <f>2/3</f>
        <v>0.66666666666666663</v>
      </c>
      <c r="G74" t="s">
        <v>9</v>
      </c>
      <c r="H74" t="s">
        <v>12</v>
      </c>
    </row>
    <row r="75" spans="1:8" x14ac:dyDescent="0.25">
      <c r="A75">
        <v>2024</v>
      </c>
      <c r="B75">
        <v>22</v>
      </c>
      <c r="C75" t="s">
        <v>15</v>
      </c>
      <c r="D75">
        <v>2</v>
      </c>
      <c r="E75">
        <v>2</v>
      </c>
      <c r="F75">
        <v>0.5</v>
      </c>
      <c r="G75" t="s">
        <v>9</v>
      </c>
      <c r="H75" t="s">
        <v>12</v>
      </c>
    </row>
    <row r="76" spans="1:8" x14ac:dyDescent="0.25">
      <c r="A76">
        <v>2024</v>
      </c>
      <c r="B76">
        <v>23</v>
      </c>
      <c r="C76" t="s">
        <v>15</v>
      </c>
      <c r="D76">
        <v>2</v>
      </c>
      <c r="E76">
        <v>2</v>
      </c>
      <c r="F76">
        <v>0.5</v>
      </c>
      <c r="G76" t="s">
        <v>9</v>
      </c>
      <c r="H76" t="s">
        <v>12</v>
      </c>
    </row>
    <row r="77" spans="1:8" x14ac:dyDescent="0.25">
      <c r="A77">
        <v>2024</v>
      </c>
      <c r="B77">
        <v>24</v>
      </c>
      <c r="C77" t="s">
        <v>15</v>
      </c>
      <c r="D77">
        <v>13</v>
      </c>
      <c r="E77">
        <v>5</v>
      </c>
      <c r="F77">
        <v>1</v>
      </c>
      <c r="G77" t="s">
        <v>11</v>
      </c>
      <c r="H77" t="s">
        <v>12</v>
      </c>
    </row>
    <row r="78" spans="1:8" x14ac:dyDescent="0.25">
      <c r="A78">
        <v>2024</v>
      </c>
      <c r="B78">
        <v>25</v>
      </c>
      <c r="C78" t="s">
        <v>15</v>
      </c>
      <c r="D78">
        <v>8</v>
      </c>
      <c r="E78">
        <v>3</v>
      </c>
      <c r="F78">
        <v>1</v>
      </c>
      <c r="G78" t="s">
        <v>9</v>
      </c>
      <c r="H78" t="s">
        <v>12</v>
      </c>
    </row>
    <row r="79" spans="1:8" x14ac:dyDescent="0.25">
      <c r="A79">
        <v>2024</v>
      </c>
      <c r="B79">
        <v>26</v>
      </c>
      <c r="C79" t="s">
        <v>15</v>
      </c>
      <c r="D79">
        <v>15</v>
      </c>
      <c r="E79">
        <v>3</v>
      </c>
      <c r="F79">
        <f>2/3</f>
        <v>0.66666666666666663</v>
      </c>
      <c r="G79" t="s">
        <v>9</v>
      </c>
      <c r="H79" t="s">
        <v>12</v>
      </c>
    </row>
    <row r="80" spans="1:8" x14ac:dyDescent="0.25">
      <c r="A80">
        <v>2024</v>
      </c>
      <c r="B80">
        <v>27</v>
      </c>
      <c r="C80" t="s">
        <v>15</v>
      </c>
      <c r="D80">
        <v>6</v>
      </c>
      <c r="E80">
        <v>3</v>
      </c>
      <c r="F80">
        <v>1</v>
      </c>
      <c r="G80" t="s">
        <v>9</v>
      </c>
      <c r="H80" t="s">
        <v>12</v>
      </c>
    </row>
    <row r="81" spans="1:8" x14ac:dyDescent="0.25">
      <c r="A81">
        <v>2024</v>
      </c>
      <c r="B81">
        <v>28</v>
      </c>
      <c r="C81" t="s">
        <v>15</v>
      </c>
      <c r="D81">
        <v>6</v>
      </c>
      <c r="E81">
        <v>4</v>
      </c>
      <c r="F81">
        <v>0.75</v>
      </c>
      <c r="G81" t="s">
        <v>9</v>
      </c>
      <c r="H81" t="s">
        <v>12</v>
      </c>
    </row>
    <row r="82" spans="1:8" x14ac:dyDescent="0.25">
      <c r="A82">
        <v>2024</v>
      </c>
      <c r="B82">
        <v>29</v>
      </c>
      <c r="C82" t="s">
        <v>15</v>
      </c>
      <c r="D82">
        <v>2</v>
      </c>
      <c r="E82">
        <v>1</v>
      </c>
      <c r="F82">
        <v>1</v>
      </c>
      <c r="G82" t="s">
        <v>9</v>
      </c>
      <c r="H82" t="s">
        <v>12</v>
      </c>
    </row>
    <row r="83" spans="1:8" x14ac:dyDescent="0.25">
      <c r="A83">
        <v>2024</v>
      </c>
      <c r="B83">
        <v>30</v>
      </c>
      <c r="C83" t="s">
        <v>15</v>
      </c>
      <c r="D83">
        <v>29</v>
      </c>
      <c r="E83">
        <v>4</v>
      </c>
      <c r="F83">
        <v>1</v>
      </c>
      <c r="G83" t="s">
        <v>11</v>
      </c>
      <c r="H83" t="s">
        <v>12</v>
      </c>
    </row>
    <row r="84" spans="1:8" x14ac:dyDescent="0.25">
      <c r="A84">
        <v>2024</v>
      </c>
      <c r="B84">
        <v>31</v>
      </c>
      <c r="C84" t="s">
        <v>15</v>
      </c>
      <c r="D84">
        <v>10</v>
      </c>
      <c r="E84">
        <v>4</v>
      </c>
      <c r="F84">
        <v>0.75</v>
      </c>
      <c r="G84" t="s">
        <v>9</v>
      </c>
      <c r="H84" t="s">
        <v>12</v>
      </c>
    </row>
    <row r="85" spans="1:8" x14ac:dyDescent="0.25">
      <c r="A85">
        <v>2024</v>
      </c>
      <c r="B85">
        <v>32</v>
      </c>
      <c r="C85" t="s">
        <v>15</v>
      </c>
      <c r="D85">
        <v>2</v>
      </c>
      <c r="E85">
        <v>1</v>
      </c>
      <c r="F85">
        <v>1</v>
      </c>
      <c r="G85" t="s">
        <v>9</v>
      </c>
      <c r="H85" t="s">
        <v>12</v>
      </c>
    </row>
    <row r="86" spans="1:8" x14ac:dyDescent="0.25">
      <c r="A86">
        <v>2024</v>
      </c>
      <c r="B86">
        <v>33</v>
      </c>
      <c r="C86" t="s">
        <v>15</v>
      </c>
      <c r="D86">
        <v>1</v>
      </c>
      <c r="E86">
        <v>1</v>
      </c>
      <c r="F86">
        <v>1</v>
      </c>
      <c r="G86" t="s">
        <v>9</v>
      </c>
      <c r="H86" t="s">
        <v>12</v>
      </c>
    </row>
    <row r="87" spans="1:8" x14ac:dyDescent="0.25">
      <c r="A87">
        <v>2024</v>
      </c>
      <c r="B87">
        <v>34</v>
      </c>
      <c r="C87" t="s">
        <v>15</v>
      </c>
      <c r="D87">
        <v>4</v>
      </c>
      <c r="E87">
        <v>1</v>
      </c>
      <c r="F87">
        <v>1</v>
      </c>
      <c r="G87" t="s">
        <v>9</v>
      </c>
      <c r="H87" t="s">
        <v>12</v>
      </c>
    </row>
    <row r="88" spans="1:8" x14ac:dyDescent="0.25">
      <c r="A88">
        <v>2024</v>
      </c>
      <c r="B88">
        <v>35</v>
      </c>
      <c r="C88" t="s">
        <v>15</v>
      </c>
      <c r="D88">
        <v>0</v>
      </c>
      <c r="E88">
        <v>0</v>
      </c>
      <c r="F88">
        <v>0</v>
      </c>
      <c r="G88" t="s">
        <v>9</v>
      </c>
      <c r="H88" t="s">
        <v>12</v>
      </c>
    </row>
    <row r="89" spans="1:8" x14ac:dyDescent="0.25">
      <c r="A89">
        <v>2024</v>
      </c>
      <c r="B89">
        <v>36</v>
      </c>
      <c r="C89" t="s">
        <v>15</v>
      </c>
      <c r="D89">
        <v>25</v>
      </c>
      <c r="E89">
        <v>6</v>
      </c>
      <c r="F89">
        <v>1</v>
      </c>
      <c r="G89" t="s">
        <v>9</v>
      </c>
      <c r="H89" t="s">
        <v>12</v>
      </c>
    </row>
    <row r="90" spans="1:8" x14ac:dyDescent="0.25">
      <c r="A90">
        <v>2024</v>
      </c>
      <c r="B90">
        <v>37</v>
      </c>
      <c r="C90" t="s">
        <v>15</v>
      </c>
      <c r="D90">
        <v>3</v>
      </c>
      <c r="E90">
        <v>2</v>
      </c>
      <c r="F90">
        <v>1</v>
      </c>
      <c r="G90" t="s">
        <v>9</v>
      </c>
      <c r="H90" t="s">
        <v>12</v>
      </c>
    </row>
    <row r="91" spans="1:8" x14ac:dyDescent="0.25">
      <c r="A91">
        <v>2024</v>
      </c>
      <c r="B91">
        <v>38</v>
      </c>
      <c r="C91" t="s">
        <v>15</v>
      </c>
      <c r="D91">
        <v>1</v>
      </c>
      <c r="E91">
        <v>1</v>
      </c>
      <c r="F91">
        <v>1</v>
      </c>
      <c r="G91" t="s">
        <v>9</v>
      </c>
      <c r="H91" t="s">
        <v>12</v>
      </c>
    </row>
    <row r="92" spans="1:8" x14ac:dyDescent="0.25">
      <c r="A92">
        <v>2024</v>
      </c>
      <c r="B92">
        <v>39</v>
      </c>
      <c r="C92" t="s">
        <v>15</v>
      </c>
      <c r="D92">
        <v>31</v>
      </c>
      <c r="E92">
        <v>8</v>
      </c>
      <c r="F92">
        <v>1</v>
      </c>
      <c r="G92" t="s">
        <v>9</v>
      </c>
      <c r="H92" t="s">
        <v>12</v>
      </c>
    </row>
    <row r="93" spans="1:8" x14ac:dyDescent="0.25">
      <c r="A93">
        <v>2024</v>
      </c>
      <c r="B93">
        <v>40</v>
      </c>
      <c r="C93" t="s">
        <v>15</v>
      </c>
      <c r="D93">
        <v>6</v>
      </c>
      <c r="E93">
        <v>2</v>
      </c>
      <c r="F93">
        <v>1</v>
      </c>
      <c r="G93" t="s">
        <v>9</v>
      </c>
      <c r="H93" t="s">
        <v>12</v>
      </c>
    </row>
    <row r="94" spans="1:8" x14ac:dyDescent="0.25">
      <c r="A94">
        <v>2024</v>
      </c>
      <c r="B94">
        <v>41</v>
      </c>
      <c r="C94" t="s">
        <v>15</v>
      </c>
      <c r="D94">
        <v>10</v>
      </c>
      <c r="E94">
        <v>5</v>
      </c>
      <c r="F94">
        <v>1</v>
      </c>
      <c r="G94" t="s">
        <v>9</v>
      </c>
      <c r="H94" t="s">
        <v>12</v>
      </c>
    </row>
    <row r="95" spans="1:8" x14ac:dyDescent="0.25">
      <c r="A95">
        <v>2024</v>
      </c>
      <c r="B95">
        <v>42</v>
      </c>
      <c r="C95" t="s">
        <v>15</v>
      </c>
      <c r="D95">
        <v>21</v>
      </c>
      <c r="E95">
        <v>4</v>
      </c>
      <c r="F95">
        <v>1</v>
      </c>
      <c r="G95" t="s">
        <v>9</v>
      </c>
      <c r="H95" t="s">
        <v>12</v>
      </c>
    </row>
    <row r="96" spans="1:8" x14ac:dyDescent="0.25">
      <c r="A96">
        <v>2024</v>
      </c>
      <c r="B96">
        <v>43</v>
      </c>
      <c r="C96" t="s">
        <v>15</v>
      </c>
      <c r="D96">
        <v>6</v>
      </c>
      <c r="E96">
        <v>1</v>
      </c>
      <c r="F96">
        <v>1</v>
      </c>
      <c r="G96" t="s">
        <v>9</v>
      </c>
      <c r="H96" t="s">
        <v>12</v>
      </c>
    </row>
    <row r="97" spans="1:8" x14ac:dyDescent="0.25">
      <c r="A97">
        <v>2024</v>
      </c>
      <c r="B97">
        <v>44</v>
      </c>
      <c r="C97" t="s">
        <v>15</v>
      </c>
      <c r="D97">
        <v>6</v>
      </c>
      <c r="E97">
        <v>2</v>
      </c>
      <c r="F97">
        <v>1</v>
      </c>
      <c r="G97" t="s">
        <v>9</v>
      </c>
      <c r="H97" t="s">
        <v>10</v>
      </c>
    </row>
    <row r="98" spans="1:8" x14ac:dyDescent="0.25">
      <c r="A98">
        <v>2024</v>
      </c>
      <c r="B98">
        <v>45</v>
      </c>
      <c r="C98" t="s">
        <v>15</v>
      </c>
      <c r="D98">
        <v>4</v>
      </c>
      <c r="E98">
        <v>1</v>
      </c>
      <c r="F98">
        <v>1</v>
      </c>
      <c r="G98" t="s">
        <v>9</v>
      </c>
      <c r="H98" t="s">
        <v>10</v>
      </c>
    </row>
    <row r="99" spans="1:8" x14ac:dyDescent="0.25">
      <c r="A99">
        <v>2024</v>
      </c>
      <c r="B99">
        <v>46</v>
      </c>
      <c r="C99" t="s">
        <v>15</v>
      </c>
      <c r="D99">
        <v>20</v>
      </c>
      <c r="E99">
        <v>5</v>
      </c>
      <c r="F99">
        <v>1</v>
      </c>
      <c r="G99" t="s">
        <v>9</v>
      </c>
      <c r="H99" t="s">
        <v>10</v>
      </c>
    </row>
    <row r="100" spans="1:8" x14ac:dyDescent="0.25">
      <c r="A100">
        <v>2024</v>
      </c>
      <c r="B100">
        <v>47</v>
      </c>
      <c r="C100" t="s">
        <v>15</v>
      </c>
      <c r="D100">
        <v>1</v>
      </c>
      <c r="E100">
        <v>1</v>
      </c>
      <c r="F100">
        <v>0</v>
      </c>
      <c r="G100" t="s">
        <v>9</v>
      </c>
      <c r="H100" t="s">
        <v>10</v>
      </c>
    </row>
    <row r="101" spans="1:8" x14ac:dyDescent="0.25">
      <c r="A101">
        <v>2024</v>
      </c>
      <c r="B101">
        <v>48</v>
      </c>
      <c r="C101" t="s">
        <v>15</v>
      </c>
      <c r="D101">
        <v>3</v>
      </c>
      <c r="E101">
        <v>2</v>
      </c>
      <c r="F101">
        <v>1</v>
      </c>
      <c r="G101" t="s">
        <v>9</v>
      </c>
      <c r="H101" t="s">
        <v>10</v>
      </c>
    </row>
    <row r="102" spans="1:8" x14ac:dyDescent="0.25">
      <c r="A102">
        <v>2024</v>
      </c>
      <c r="B102">
        <v>49</v>
      </c>
      <c r="C102" t="s">
        <v>15</v>
      </c>
      <c r="D102">
        <v>0</v>
      </c>
      <c r="E102">
        <v>0</v>
      </c>
      <c r="F102">
        <v>0</v>
      </c>
      <c r="G102" t="s">
        <v>9</v>
      </c>
      <c r="H102" t="s">
        <v>10</v>
      </c>
    </row>
    <row r="103" spans="1:8" x14ac:dyDescent="0.25">
      <c r="A103">
        <v>2024</v>
      </c>
      <c r="B103">
        <v>50</v>
      </c>
      <c r="C103" t="s">
        <v>15</v>
      </c>
      <c r="D103">
        <v>7</v>
      </c>
      <c r="E103">
        <v>3</v>
      </c>
      <c r="F103">
        <v>1</v>
      </c>
      <c r="G103" t="s">
        <v>9</v>
      </c>
      <c r="H103" t="s">
        <v>10</v>
      </c>
    </row>
    <row r="104" spans="1:8" x14ac:dyDescent="0.25">
      <c r="A104">
        <v>2024</v>
      </c>
      <c r="B104">
        <v>51</v>
      </c>
      <c r="C104" t="s">
        <v>15</v>
      </c>
      <c r="D104">
        <v>0</v>
      </c>
      <c r="E104">
        <v>0</v>
      </c>
      <c r="F104">
        <v>0</v>
      </c>
      <c r="G104" t="s">
        <v>11</v>
      </c>
      <c r="H104" t="s">
        <v>10</v>
      </c>
    </row>
    <row r="105" spans="1:8" x14ac:dyDescent="0.25">
      <c r="A105">
        <v>2024</v>
      </c>
      <c r="B105">
        <v>52</v>
      </c>
      <c r="C105" t="s">
        <v>15</v>
      </c>
      <c r="D105">
        <v>69</v>
      </c>
      <c r="E105">
        <v>5</v>
      </c>
      <c r="F105">
        <v>1</v>
      </c>
      <c r="G105" t="s">
        <v>11</v>
      </c>
      <c r="H105" t="s">
        <v>10</v>
      </c>
    </row>
    <row r="106" spans="1:8" x14ac:dyDescent="0.25">
      <c r="A106">
        <v>2024</v>
      </c>
      <c r="B106">
        <v>53</v>
      </c>
      <c r="C106" t="s">
        <v>15</v>
      </c>
      <c r="D106">
        <v>7</v>
      </c>
      <c r="E106">
        <v>3</v>
      </c>
      <c r="F106">
        <v>1</v>
      </c>
      <c r="G106" t="s">
        <v>11</v>
      </c>
      <c r="H106" t="s">
        <v>10</v>
      </c>
    </row>
    <row r="107" spans="1:8" x14ac:dyDescent="0.25">
      <c r="A107">
        <v>2025</v>
      </c>
      <c r="B107">
        <v>1</v>
      </c>
      <c r="C107" t="s">
        <v>15</v>
      </c>
      <c r="D107">
        <v>0</v>
      </c>
      <c r="E107">
        <v>0</v>
      </c>
      <c r="F107">
        <v>0</v>
      </c>
      <c r="G107" t="s">
        <v>9</v>
      </c>
      <c r="H107" t="s">
        <v>10</v>
      </c>
    </row>
    <row r="108" spans="1:8" x14ac:dyDescent="0.25">
      <c r="A108">
        <v>2025</v>
      </c>
      <c r="B108">
        <v>2</v>
      </c>
      <c r="C108" t="s">
        <v>15</v>
      </c>
      <c r="D108">
        <v>4</v>
      </c>
      <c r="E108">
        <v>1</v>
      </c>
      <c r="F108">
        <v>1</v>
      </c>
      <c r="G108" t="s">
        <v>9</v>
      </c>
      <c r="H108" t="s">
        <v>10</v>
      </c>
    </row>
    <row r="109" spans="1:8" x14ac:dyDescent="0.25">
      <c r="A109">
        <v>2025</v>
      </c>
      <c r="B109">
        <v>3</v>
      </c>
      <c r="C109" t="s">
        <v>15</v>
      </c>
      <c r="D109">
        <v>0</v>
      </c>
      <c r="E109">
        <v>0</v>
      </c>
      <c r="F109">
        <v>0</v>
      </c>
      <c r="G109" t="s">
        <v>9</v>
      </c>
      <c r="H109" t="s">
        <v>10</v>
      </c>
    </row>
    <row r="110" spans="1:8" x14ac:dyDescent="0.25">
      <c r="A110">
        <v>2025</v>
      </c>
      <c r="B110">
        <v>4</v>
      </c>
      <c r="C110" t="s">
        <v>15</v>
      </c>
      <c r="D110">
        <v>4</v>
      </c>
      <c r="E110">
        <v>1</v>
      </c>
      <c r="F110">
        <v>1</v>
      </c>
      <c r="G110" t="s">
        <v>9</v>
      </c>
      <c r="H110" t="s">
        <v>10</v>
      </c>
    </row>
    <row r="111" spans="1:8" x14ac:dyDescent="0.25">
      <c r="A111">
        <v>2025</v>
      </c>
      <c r="B111">
        <v>5</v>
      </c>
      <c r="C111" t="s">
        <v>15</v>
      </c>
      <c r="D111">
        <v>4</v>
      </c>
      <c r="E111">
        <v>1</v>
      </c>
      <c r="F111">
        <v>1</v>
      </c>
      <c r="G111" t="s">
        <v>9</v>
      </c>
      <c r="H111" t="s">
        <v>10</v>
      </c>
    </row>
    <row r="112" spans="1:8" x14ac:dyDescent="0.25">
      <c r="A112">
        <v>2025</v>
      </c>
      <c r="B112">
        <v>6</v>
      </c>
      <c r="C112" t="s">
        <v>15</v>
      </c>
      <c r="D112">
        <v>2</v>
      </c>
      <c r="E112">
        <v>1</v>
      </c>
      <c r="F112">
        <v>1</v>
      </c>
      <c r="G112" t="s">
        <v>9</v>
      </c>
      <c r="H112" t="s">
        <v>10</v>
      </c>
    </row>
    <row r="113" spans="1:8" x14ac:dyDescent="0.25">
      <c r="A113">
        <v>2025</v>
      </c>
      <c r="B113">
        <v>7</v>
      </c>
      <c r="C113" t="s">
        <v>15</v>
      </c>
      <c r="D113">
        <v>3</v>
      </c>
      <c r="E113">
        <v>1</v>
      </c>
      <c r="F113">
        <v>1</v>
      </c>
      <c r="G113" t="s">
        <v>9</v>
      </c>
      <c r="H113" t="s">
        <v>10</v>
      </c>
    </row>
    <row r="114" spans="1:8" x14ac:dyDescent="0.25">
      <c r="A114">
        <v>2025</v>
      </c>
      <c r="B114">
        <v>8</v>
      </c>
      <c r="C114" t="s">
        <v>15</v>
      </c>
      <c r="D114">
        <v>0</v>
      </c>
      <c r="E114">
        <v>0</v>
      </c>
      <c r="F114">
        <v>0</v>
      </c>
      <c r="G114" t="s">
        <v>11</v>
      </c>
      <c r="H114" t="s">
        <v>10</v>
      </c>
    </row>
    <row r="115" spans="1:8" x14ac:dyDescent="0.25">
      <c r="A115">
        <v>2025</v>
      </c>
      <c r="B115">
        <v>9</v>
      </c>
      <c r="C115" t="s">
        <v>15</v>
      </c>
      <c r="D115">
        <v>24</v>
      </c>
      <c r="E115">
        <v>8</v>
      </c>
      <c r="F115">
        <v>1</v>
      </c>
      <c r="G115" t="s">
        <v>11</v>
      </c>
      <c r="H115" t="s">
        <v>10</v>
      </c>
    </row>
    <row r="116" spans="1:8" x14ac:dyDescent="0.25">
      <c r="A116">
        <v>2025</v>
      </c>
      <c r="B116">
        <v>10</v>
      </c>
      <c r="C116" t="s">
        <v>15</v>
      </c>
      <c r="D116">
        <v>0</v>
      </c>
      <c r="E116">
        <v>0</v>
      </c>
      <c r="F116">
        <v>0</v>
      </c>
      <c r="G116" t="s">
        <v>9</v>
      </c>
      <c r="H116" t="s">
        <v>10</v>
      </c>
    </row>
    <row r="117" spans="1:8" x14ac:dyDescent="0.25">
      <c r="A117">
        <v>2025</v>
      </c>
      <c r="B117">
        <v>11</v>
      </c>
      <c r="C117" t="s">
        <v>15</v>
      </c>
      <c r="D117">
        <v>2</v>
      </c>
      <c r="E117">
        <v>1</v>
      </c>
      <c r="F117">
        <v>1</v>
      </c>
      <c r="G117" t="s">
        <v>9</v>
      </c>
      <c r="H117" t="s">
        <v>10</v>
      </c>
    </row>
    <row r="118" spans="1:8" x14ac:dyDescent="0.25">
      <c r="A118">
        <v>2025</v>
      </c>
      <c r="B118">
        <v>12</v>
      </c>
      <c r="C118" t="s">
        <v>15</v>
      </c>
      <c r="D118">
        <v>24</v>
      </c>
      <c r="E118">
        <v>2</v>
      </c>
      <c r="F118">
        <v>1</v>
      </c>
      <c r="G118" t="s">
        <v>9</v>
      </c>
      <c r="H118" t="s">
        <v>10</v>
      </c>
    </row>
    <row r="119" spans="1:8" x14ac:dyDescent="0.25">
      <c r="A119">
        <v>2025</v>
      </c>
      <c r="B119">
        <v>13</v>
      </c>
      <c r="C119" t="s">
        <v>15</v>
      </c>
      <c r="D119">
        <v>0</v>
      </c>
      <c r="E119">
        <v>0</v>
      </c>
      <c r="F119">
        <v>0</v>
      </c>
      <c r="G119" t="s">
        <v>9</v>
      </c>
      <c r="H119" t="s">
        <v>12</v>
      </c>
    </row>
    <row r="120" spans="1:8" x14ac:dyDescent="0.25">
      <c r="A120">
        <v>2025</v>
      </c>
      <c r="B120">
        <v>14</v>
      </c>
      <c r="C120" t="s">
        <v>15</v>
      </c>
      <c r="D120">
        <v>8</v>
      </c>
      <c r="E120">
        <v>3</v>
      </c>
      <c r="F120">
        <f>2/3</f>
        <v>0.66666666666666663</v>
      </c>
      <c r="G120" t="s">
        <v>9</v>
      </c>
      <c r="H120" t="s">
        <v>12</v>
      </c>
    </row>
    <row r="121" spans="1:8" x14ac:dyDescent="0.25">
      <c r="A121">
        <v>2025</v>
      </c>
      <c r="B121">
        <v>15</v>
      </c>
      <c r="C121" t="s">
        <v>15</v>
      </c>
      <c r="D121">
        <v>21</v>
      </c>
      <c r="E121">
        <v>4</v>
      </c>
      <c r="F121">
        <v>1</v>
      </c>
      <c r="G121" t="s">
        <v>9</v>
      </c>
      <c r="H121" t="s">
        <v>12</v>
      </c>
    </row>
    <row r="122" spans="1:8" x14ac:dyDescent="0.25">
      <c r="A122">
        <v>2025</v>
      </c>
      <c r="B122">
        <v>16</v>
      </c>
      <c r="C122" t="s">
        <v>15</v>
      </c>
      <c r="D122">
        <v>17</v>
      </c>
      <c r="E122">
        <v>4</v>
      </c>
      <c r="F122">
        <v>1</v>
      </c>
      <c r="G122" t="s">
        <v>11</v>
      </c>
      <c r="H122" t="s">
        <v>12</v>
      </c>
    </row>
    <row r="123" spans="1:8" x14ac:dyDescent="0.25">
      <c r="A123">
        <v>2025</v>
      </c>
      <c r="B123">
        <v>17</v>
      </c>
      <c r="C123" t="s">
        <v>15</v>
      </c>
      <c r="D123">
        <v>6</v>
      </c>
      <c r="E123">
        <v>3</v>
      </c>
      <c r="F123">
        <v>1</v>
      </c>
      <c r="G123" t="s">
        <v>11</v>
      </c>
      <c r="H123" t="s">
        <v>12</v>
      </c>
    </row>
    <row r="124" spans="1:8" x14ac:dyDescent="0.25">
      <c r="A124">
        <v>2025</v>
      </c>
      <c r="B124">
        <v>18</v>
      </c>
      <c r="C124" t="s">
        <v>15</v>
      </c>
      <c r="D124">
        <v>2</v>
      </c>
      <c r="E124">
        <v>1</v>
      </c>
      <c r="F124">
        <v>1</v>
      </c>
      <c r="G124" t="s">
        <v>9</v>
      </c>
      <c r="H124" t="s">
        <v>12</v>
      </c>
    </row>
    <row r="125" spans="1:8" x14ac:dyDescent="0.25">
      <c r="A125">
        <v>2025</v>
      </c>
      <c r="B125">
        <v>19</v>
      </c>
      <c r="C125" t="s">
        <v>15</v>
      </c>
      <c r="D125">
        <v>3</v>
      </c>
      <c r="E125">
        <v>2</v>
      </c>
      <c r="F125">
        <v>1</v>
      </c>
      <c r="G125" t="s">
        <v>11</v>
      </c>
      <c r="H125" t="s">
        <v>12</v>
      </c>
    </row>
    <row r="126" spans="1:8" x14ac:dyDescent="0.25">
      <c r="A126">
        <v>2025</v>
      </c>
      <c r="B126">
        <v>20</v>
      </c>
      <c r="C126" t="s">
        <v>15</v>
      </c>
      <c r="D126">
        <v>14</v>
      </c>
      <c r="E126">
        <v>2</v>
      </c>
      <c r="F126">
        <v>1</v>
      </c>
      <c r="G126" t="s">
        <v>9</v>
      </c>
      <c r="H126" t="s">
        <v>12</v>
      </c>
    </row>
    <row r="127" spans="1:8" x14ac:dyDescent="0.25">
      <c r="A127">
        <v>2025</v>
      </c>
      <c r="B127">
        <v>21</v>
      </c>
      <c r="C127" t="s">
        <v>15</v>
      </c>
      <c r="D127">
        <v>16</v>
      </c>
      <c r="E127">
        <v>3</v>
      </c>
      <c r="F127">
        <f>2/3</f>
        <v>0.66666666666666663</v>
      </c>
      <c r="G127" t="s">
        <v>9</v>
      </c>
      <c r="H127" t="s">
        <v>12</v>
      </c>
    </row>
    <row r="128" spans="1:8" x14ac:dyDescent="0.25">
      <c r="A128">
        <v>2025</v>
      </c>
      <c r="B128">
        <v>22</v>
      </c>
      <c r="C128" t="s">
        <v>15</v>
      </c>
      <c r="D128">
        <v>9</v>
      </c>
      <c r="E128">
        <v>2</v>
      </c>
      <c r="F128">
        <v>1</v>
      </c>
      <c r="G128" t="s">
        <v>9</v>
      </c>
      <c r="H128" t="s">
        <v>12</v>
      </c>
    </row>
    <row r="129" spans="1:8" x14ac:dyDescent="0.25">
      <c r="A129">
        <v>2025</v>
      </c>
      <c r="B129">
        <v>23</v>
      </c>
      <c r="C129" t="s">
        <v>15</v>
      </c>
      <c r="D129">
        <v>10</v>
      </c>
      <c r="E129">
        <v>3</v>
      </c>
      <c r="F129">
        <v>1</v>
      </c>
      <c r="G129" t="s">
        <v>9</v>
      </c>
      <c r="H129" t="s">
        <v>12</v>
      </c>
    </row>
    <row r="130" spans="1:8" x14ac:dyDescent="0.25">
      <c r="A130">
        <v>2025</v>
      </c>
      <c r="B130">
        <v>24</v>
      </c>
      <c r="C130" t="s">
        <v>15</v>
      </c>
      <c r="D130">
        <v>3</v>
      </c>
      <c r="E130">
        <v>2</v>
      </c>
      <c r="F130">
        <v>0</v>
      </c>
      <c r="G130" t="s">
        <v>11</v>
      </c>
      <c r="H130" t="s">
        <v>12</v>
      </c>
    </row>
    <row r="131" spans="1:8" x14ac:dyDescent="0.25">
      <c r="A131">
        <v>2025</v>
      </c>
      <c r="B131">
        <v>25</v>
      </c>
      <c r="C131" t="s">
        <v>15</v>
      </c>
      <c r="D131">
        <v>5</v>
      </c>
      <c r="E131">
        <v>2</v>
      </c>
      <c r="F131">
        <v>1</v>
      </c>
      <c r="G131" t="s">
        <v>9</v>
      </c>
      <c r="H131" t="s">
        <v>12</v>
      </c>
    </row>
    <row r="132" spans="1:8" x14ac:dyDescent="0.25">
      <c r="A132">
        <v>2025</v>
      </c>
      <c r="B132">
        <v>26</v>
      </c>
      <c r="C132" t="s">
        <v>15</v>
      </c>
      <c r="D132">
        <v>12</v>
      </c>
      <c r="E132">
        <v>3</v>
      </c>
      <c r="F132">
        <f>2/3</f>
        <v>0.66666666666666663</v>
      </c>
      <c r="G132" t="s">
        <v>9</v>
      </c>
      <c r="H132" t="s">
        <v>12</v>
      </c>
    </row>
    <row r="133" spans="1:8" x14ac:dyDescent="0.25">
      <c r="A133">
        <v>2025</v>
      </c>
      <c r="B133">
        <v>27</v>
      </c>
      <c r="C133" t="s">
        <v>15</v>
      </c>
      <c r="D133">
        <v>26</v>
      </c>
      <c r="E133">
        <v>7</v>
      </c>
      <c r="F133">
        <f>6/7</f>
        <v>0.8571428571428571</v>
      </c>
      <c r="G133" t="s">
        <v>9</v>
      </c>
      <c r="H133" t="s">
        <v>12</v>
      </c>
    </row>
    <row r="134" spans="1:8" x14ac:dyDescent="0.25">
      <c r="A134">
        <v>2025</v>
      </c>
      <c r="B134">
        <v>28</v>
      </c>
      <c r="C134" t="s">
        <v>15</v>
      </c>
      <c r="D134">
        <v>15</v>
      </c>
      <c r="E134">
        <v>2</v>
      </c>
      <c r="F134">
        <v>1</v>
      </c>
      <c r="G134" t="s">
        <v>9</v>
      </c>
      <c r="H134" t="s">
        <v>12</v>
      </c>
    </row>
    <row r="135" spans="1:8" x14ac:dyDescent="0.25">
      <c r="A135">
        <v>2025</v>
      </c>
      <c r="B135">
        <v>29</v>
      </c>
      <c r="C135" t="s">
        <v>15</v>
      </c>
      <c r="D135">
        <v>3</v>
      </c>
      <c r="E135">
        <v>1</v>
      </c>
      <c r="F135">
        <v>1</v>
      </c>
      <c r="G135" t="s">
        <v>9</v>
      </c>
      <c r="H135" t="s">
        <v>12</v>
      </c>
    </row>
    <row r="136" spans="1:8" x14ac:dyDescent="0.25">
      <c r="A136">
        <v>2025</v>
      </c>
      <c r="B136">
        <v>30</v>
      </c>
      <c r="C136" t="s">
        <v>15</v>
      </c>
      <c r="D136">
        <v>17</v>
      </c>
      <c r="E136">
        <v>5</v>
      </c>
      <c r="F136">
        <v>1</v>
      </c>
      <c r="G136" t="s">
        <v>11</v>
      </c>
      <c r="H136" t="s">
        <v>12</v>
      </c>
    </row>
    <row r="137" spans="1:8" x14ac:dyDescent="0.25">
      <c r="A137">
        <v>2025</v>
      </c>
      <c r="B137">
        <v>31</v>
      </c>
      <c r="C137" t="s">
        <v>15</v>
      </c>
      <c r="D137">
        <v>7</v>
      </c>
      <c r="E137">
        <v>2</v>
      </c>
      <c r="F137">
        <v>0.5</v>
      </c>
      <c r="G137" t="s">
        <v>11</v>
      </c>
      <c r="H137" t="s">
        <v>12</v>
      </c>
    </row>
    <row r="138" spans="1:8" x14ac:dyDescent="0.25">
      <c r="A138">
        <v>2025</v>
      </c>
      <c r="B138">
        <v>32</v>
      </c>
      <c r="C138" t="s">
        <v>15</v>
      </c>
      <c r="D138">
        <v>8</v>
      </c>
      <c r="E138">
        <v>3</v>
      </c>
      <c r="F138">
        <f>2/3</f>
        <v>0.66666666666666663</v>
      </c>
      <c r="G138" t="s">
        <v>9</v>
      </c>
      <c r="H138" t="s">
        <v>12</v>
      </c>
    </row>
    <row r="139" spans="1:8" x14ac:dyDescent="0.25">
      <c r="A139">
        <v>2025</v>
      </c>
      <c r="B139">
        <v>33</v>
      </c>
      <c r="C139" t="s">
        <v>15</v>
      </c>
      <c r="D139">
        <v>29</v>
      </c>
      <c r="E139">
        <v>6</v>
      </c>
      <c r="F139">
        <v>1</v>
      </c>
      <c r="G139" t="s">
        <v>9</v>
      </c>
      <c r="H139" t="s">
        <v>12</v>
      </c>
    </row>
    <row r="140" spans="1:8" x14ac:dyDescent="0.25">
      <c r="A140">
        <v>2025</v>
      </c>
      <c r="B140">
        <v>34</v>
      </c>
      <c r="C140" t="s">
        <v>15</v>
      </c>
      <c r="D140">
        <v>5</v>
      </c>
      <c r="E140">
        <v>1</v>
      </c>
      <c r="F140">
        <v>1</v>
      </c>
      <c r="G140" t="s">
        <v>9</v>
      </c>
      <c r="H140" t="s">
        <v>12</v>
      </c>
    </row>
    <row r="141" spans="1:8" x14ac:dyDescent="0.25">
      <c r="A141">
        <v>2025</v>
      </c>
      <c r="B141">
        <v>35</v>
      </c>
      <c r="C141" t="s">
        <v>15</v>
      </c>
      <c r="D141">
        <v>25</v>
      </c>
      <c r="E141">
        <v>3</v>
      </c>
      <c r="F141">
        <v>1</v>
      </c>
      <c r="G141" t="s">
        <v>9</v>
      </c>
      <c r="H141" t="s">
        <v>12</v>
      </c>
    </row>
    <row r="142" spans="1:8" x14ac:dyDescent="0.25">
      <c r="A142">
        <v>2025</v>
      </c>
      <c r="B142">
        <v>36</v>
      </c>
      <c r="C142" t="s">
        <v>15</v>
      </c>
      <c r="D142">
        <v>12</v>
      </c>
      <c r="E142">
        <v>3</v>
      </c>
      <c r="F142">
        <v>1</v>
      </c>
      <c r="G142" t="s">
        <v>9</v>
      </c>
      <c r="H142" t="s">
        <v>12</v>
      </c>
    </row>
    <row r="143" spans="1:8" x14ac:dyDescent="0.25">
      <c r="A143">
        <v>2025</v>
      </c>
      <c r="B143">
        <v>37</v>
      </c>
      <c r="C143" t="s">
        <v>15</v>
      </c>
      <c r="D143">
        <v>7</v>
      </c>
      <c r="E143">
        <v>2</v>
      </c>
      <c r="F143">
        <v>1</v>
      </c>
      <c r="G143" t="s">
        <v>9</v>
      </c>
      <c r="H143" t="s">
        <v>12</v>
      </c>
    </row>
    <row r="144" spans="1:8" x14ac:dyDescent="0.25">
      <c r="A144">
        <v>2025</v>
      </c>
      <c r="B144">
        <v>38</v>
      </c>
      <c r="C144" t="s">
        <v>15</v>
      </c>
      <c r="D144">
        <v>0</v>
      </c>
      <c r="E144">
        <v>0</v>
      </c>
      <c r="F144">
        <v>0</v>
      </c>
      <c r="G144" t="s">
        <v>9</v>
      </c>
      <c r="H144" t="s">
        <v>12</v>
      </c>
    </row>
    <row r="145" spans="1:8" x14ac:dyDescent="0.25">
      <c r="A145">
        <v>2025</v>
      </c>
      <c r="B145">
        <v>39</v>
      </c>
      <c r="C145" t="s">
        <v>15</v>
      </c>
      <c r="D145">
        <v>0</v>
      </c>
      <c r="E145">
        <v>0</v>
      </c>
      <c r="F145">
        <v>0</v>
      </c>
      <c r="G145" t="s">
        <v>9</v>
      </c>
      <c r="H145" t="s">
        <v>12</v>
      </c>
    </row>
    <row r="146" spans="1:8" x14ac:dyDescent="0.25">
      <c r="A146">
        <v>2025</v>
      </c>
      <c r="B146">
        <v>40</v>
      </c>
      <c r="C146" t="s">
        <v>15</v>
      </c>
      <c r="D146">
        <v>4</v>
      </c>
      <c r="E146">
        <v>1</v>
      </c>
      <c r="F146">
        <v>1</v>
      </c>
      <c r="G146" t="s">
        <v>9</v>
      </c>
      <c r="H146" t="s">
        <v>12</v>
      </c>
    </row>
    <row r="147" spans="1:8" x14ac:dyDescent="0.25">
      <c r="A147">
        <v>2025</v>
      </c>
      <c r="B147">
        <v>41</v>
      </c>
      <c r="C147" t="s">
        <v>15</v>
      </c>
      <c r="D147">
        <v>3</v>
      </c>
      <c r="E147">
        <v>1</v>
      </c>
      <c r="F147">
        <v>1</v>
      </c>
      <c r="G147" t="s">
        <v>9</v>
      </c>
      <c r="H147" t="s">
        <v>12</v>
      </c>
    </row>
    <row r="148" spans="1:8" x14ac:dyDescent="0.25">
      <c r="A148">
        <v>2025</v>
      </c>
      <c r="B148">
        <v>42</v>
      </c>
      <c r="C148" t="s">
        <v>15</v>
      </c>
      <c r="D148">
        <v>7</v>
      </c>
      <c r="E148">
        <v>3</v>
      </c>
      <c r="F148">
        <f>2/3</f>
        <v>0.66666666666666663</v>
      </c>
      <c r="G148" t="s">
        <v>9</v>
      </c>
      <c r="H148" t="s">
        <v>10</v>
      </c>
    </row>
    <row r="149" spans="1:8" x14ac:dyDescent="0.25">
      <c r="A149">
        <v>2025</v>
      </c>
      <c r="B149">
        <v>43</v>
      </c>
      <c r="C149" t="s">
        <v>15</v>
      </c>
      <c r="D149">
        <v>0</v>
      </c>
      <c r="E149">
        <v>0</v>
      </c>
      <c r="F149">
        <v>0</v>
      </c>
      <c r="G149" t="s">
        <v>9</v>
      </c>
      <c r="H149" t="s">
        <v>10</v>
      </c>
    </row>
    <row r="150" spans="1:8" x14ac:dyDescent="0.25">
      <c r="A150">
        <v>2025</v>
      </c>
      <c r="B150">
        <v>44</v>
      </c>
      <c r="C150" t="s">
        <v>15</v>
      </c>
      <c r="D150">
        <v>8</v>
      </c>
      <c r="E150">
        <v>3</v>
      </c>
      <c r="F150">
        <f>2/3</f>
        <v>0.66666666666666663</v>
      </c>
      <c r="G150" t="s">
        <v>9</v>
      </c>
      <c r="H150" t="s">
        <v>10</v>
      </c>
    </row>
    <row r="151" spans="1:8" x14ac:dyDescent="0.25">
      <c r="A151">
        <v>2025</v>
      </c>
      <c r="B151">
        <v>45</v>
      </c>
      <c r="C151" t="s">
        <v>15</v>
      </c>
      <c r="D151">
        <v>18</v>
      </c>
      <c r="E151">
        <v>3</v>
      </c>
      <c r="F151">
        <v>1</v>
      </c>
      <c r="G151" t="s">
        <v>9</v>
      </c>
      <c r="H151" t="s">
        <v>10</v>
      </c>
    </row>
    <row r="152" spans="1:8" x14ac:dyDescent="0.25">
      <c r="A152">
        <v>2025</v>
      </c>
      <c r="B152">
        <v>46</v>
      </c>
      <c r="C152" t="s">
        <v>15</v>
      </c>
      <c r="D152">
        <v>3</v>
      </c>
      <c r="E152">
        <v>2</v>
      </c>
      <c r="F152">
        <v>1</v>
      </c>
      <c r="G152" t="s">
        <v>9</v>
      </c>
      <c r="H152" t="s">
        <v>10</v>
      </c>
    </row>
    <row r="153" spans="1:8" x14ac:dyDescent="0.25">
      <c r="A153">
        <v>2025</v>
      </c>
      <c r="B153">
        <v>47</v>
      </c>
      <c r="C153" t="s">
        <v>15</v>
      </c>
      <c r="D153">
        <v>4</v>
      </c>
      <c r="E153">
        <v>4</v>
      </c>
      <c r="F153">
        <v>1</v>
      </c>
      <c r="G153" t="s">
        <v>9</v>
      </c>
      <c r="H153" t="s">
        <v>10</v>
      </c>
    </row>
    <row r="154" spans="1:8" x14ac:dyDescent="0.25">
      <c r="A154">
        <v>2025</v>
      </c>
      <c r="B154">
        <v>48</v>
      </c>
      <c r="C154" t="s">
        <v>15</v>
      </c>
      <c r="D154">
        <v>2</v>
      </c>
      <c r="E154">
        <v>2</v>
      </c>
      <c r="F154">
        <v>1</v>
      </c>
      <c r="G154" t="s">
        <v>9</v>
      </c>
      <c r="H154" t="s">
        <v>10</v>
      </c>
    </row>
    <row r="155" spans="1:8" x14ac:dyDescent="0.25">
      <c r="A155">
        <v>2025</v>
      </c>
      <c r="B155">
        <v>49</v>
      </c>
      <c r="C155" t="s">
        <v>15</v>
      </c>
      <c r="D155">
        <v>23</v>
      </c>
      <c r="E155">
        <v>4</v>
      </c>
      <c r="F155">
        <f>3/4</f>
        <v>0.75</v>
      </c>
      <c r="G155" t="s">
        <v>9</v>
      </c>
      <c r="H155" t="s">
        <v>10</v>
      </c>
    </row>
    <row r="156" spans="1:8" x14ac:dyDescent="0.25">
      <c r="A156">
        <v>2025</v>
      </c>
      <c r="B156">
        <v>50</v>
      </c>
      <c r="C156" t="s">
        <v>15</v>
      </c>
      <c r="D156">
        <v>4</v>
      </c>
      <c r="E156">
        <v>1</v>
      </c>
      <c r="F156">
        <v>1</v>
      </c>
      <c r="G156" t="s">
        <v>11</v>
      </c>
      <c r="H156" t="s">
        <v>10</v>
      </c>
    </row>
    <row r="157" spans="1:8" x14ac:dyDescent="0.25">
      <c r="A157">
        <v>2025</v>
      </c>
      <c r="B157">
        <v>51</v>
      </c>
      <c r="C157" t="s">
        <v>15</v>
      </c>
      <c r="D157">
        <v>0</v>
      </c>
      <c r="E157">
        <v>0</v>
      </c>
      <c r="F157">
        <v>0</v>
      </c>
      <c r="G157" t="s">
        <v>11</v>
      </c>
      <c r="H157" t="s">
        <v>10</v>
      </c>
    </row>
    <row r="158" spans="1:8" x14ac:dyDescent="0.25">
      <c r="A158">
        <v>2025</v>
      </c>
      <c r="B158">
        <v>52</v>
      </c>
      <c r="C158" t="s">
        <v>15</v>
      </c>
      <c r="D158">
        <v>18</v>
      </c>
      <c r="E158">
        <v>4</v>
      </c>
      <c r="F158">
        <v>1</v>
      </c>
      <c r="G158" t="s">
        <v>11</v>
      </c>
      <c r="H158" t="s">
        <v>10</v>
      </c>
    </row>
    <row r="159" spans="1:8" x14ac:dyDescent="0.25">
      <c r="A159">
        <v>2025</v>
      </c>
      <c r="B159">
        <v>53</v>
      </c>
      <c r="C159" t="s">
        <v>15</v>
      </c>
      <c r="D159">
        <v>24</v>
      </c>
      <c r="E159">
        <v>2</v>
      </c>
      <c r="F159">
        <v>1</v>
      </c>
      <c r="G159" t="s">
        <v>11</v>
      </c>
      <c r="H159" t="s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FB3F4-03C9-41C0-BD43-EDEF17343F3E}">
  <dimension ref="A1:H159"/>
  <sheetViews>
    <sheetView workbookViewId="0">
      <selection activeCell="F16" sqref="F16"/>
    </sheetView>
  </sheetViews>
  <sheetFormatPr baseColWidth="10"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2023</v>
      </c>
      <c r="B2">
        <v>1</v>
      </c>
      <c r="C2" t="s">
        <v>16</v>
      </c>
      <c r="D2">
        <v>0</v>
      </c>
      <c r="E2">
        <v>0</v>
      </c>
      <c r="F2">
        <v>0</v>
      </c>
      <c r="G2" t="s">
        <v>9</v>
      </c>
      <c r="H2" t="s">
        <v>10</v>
      </c>
    </row>
    <row r="3" spans="1:8" x14ac:dyDescent="0.25">
      <c r="A3">
        <v>2023</v>
      </c>
      <c r="B3">
        <v>2</v>
      </c>
      <c r="C3" t="s">
        <v>16</v>
      </c>
      <c r="D3">
        <v>0</v>
      </c>
      <c r="E3">
        <v>0</v>
      </c>
      <c r="F3">
        <v>0</v>
      </c>
      <c r="G3" t="s">
        <v>9</v>
      </c>
      <c r="H3" t="s">
        <v>10</v>
      </c>
    </row>
    <row r="4" spans="1:8" x14ac:dyDescent="0.25">
      <c r="A4">
        <v>2023</v>
      </c>
      <c r="B4">
        <v>3</v>
      </c>
      <c r="C4" t="s">
        <v>16</v>
      </c>
      <c r="D4">
        <v>0</v>
      </c>
      <c r="E4">
        <v>0</v>
      </c>
      <c r="F4">
        <v>0</v>
      </c>
      <c r="G4" t="s">
        <v>9</v>
      </c>
      <c r="H4" t="s">
        <v>10</v>
      </c>
    </row>
    <row r="5" spans="1:8" x14ac:dyDescent="0.25">
      <c r="A5">
        <v>2023</v>
      </c>
      <c r="B5">
        <v>4</v>
      </c>
      <c r="C5" t="s">
        <v>16</v>
      </c>
      <c r="D5">
        <v>3</v>
      </c>
      <c r="E5">
        <v>1</v>
      </c>
      <c r="F5">
        <v>0</v>
      </c>
      <c r="G5" t="s">
        <v>9</v>
      </c>
      <c r="H5" t="s">
        <v>10</v>
      </c>
    </row>
    <row r="6" spans="1:8" x14ac:dyDescent="0.25">
      <c r="A6">
        <v>2023</v>
      </c>
      <c r="B6">
        <v>5</v>
      </c>
      <c r="C6" t="s">
        <v>16</v>
      </c>
      <c r="D6">
        <v>2</v>
      </c>
      <c r="E6">
        <v>1</v>
      </c>
      <c r="F6">
        <v>1</v>
      </c>
      <c r="G6" t="s">
        <v>11</v>
      </c>
      <c r="H6" t="s">
        <v>10</v>
      </c>
    </row>
    <row r="7" spans="1:8" x14ac:dyDescent="0.25">
      <c r="A7">
        <v>2023</v>
      </c>
      <c r="B7">
        <v>6</v>
      </c>
      <c r="C7" t="s">
        <v>16</v>
      </c>
      <c r="D7">
        <v>7</v>
      </c>
      <c r="E7">
        <v>2</v>
      </c>
      <c r="F7">
        <v>0.5</v>
      </c>
      <c r="G7" t="s">
        <v>11</v>
      </c>
      <c r="H7" t="s">
        <v>10</v>
      </c>
    </row>
    <row r="8" spans="1:8" x14ac:dyDescent="0.25">
      <c r="A8">
        <v>2023</v>
      </c>
      <c r="B8">
        <v>7</v>
      </c>
      <c r="C8" t="s">
        <v>16</v>
      </c>
      <c r="D8">
        <v>1</v>
      </c>
      <c r="E8">
        <v>1</v>
      </c>
      <c r="F8">
        <v>0</v>
      </c>
      <c r="G8" t="s">
        <v>11</v>
      </c>
      <c r="H8" t="s">
        <v>10</v>
      </c>
    </row>
    <row r="9" spans="1:8" x14ac:dyDescent="0.25">
      <c r="A9">
        <v>2023</v>
      </c>
      <c r="B9">
        <v>8</v>
      </c>
      <c r="C9" t="s">
        <v>16</v>
      </c>
      <c r="D9">
        <v>0</v>
      </c>
      <c r="E9">
        <v>0</v>
      </c>
      <c r="F9">
        <v>0</v>
      </c>
      <c r="G9" t="s">
        <v>11</v>
      </c>
      <c r="H9" t="s">
        <v>10</v>
      </c>
    </row>
    <row r="10" spans="1:8" x14ac:dyDescent="0.25">
      <c r="A10">
        <v>2023</v>
      </c>
      <c r="B10">
        <v>9</v>
      </c>
      <c r="C10" t="s">
        <v>16</v>
      </c>
      <c r="D10">
        <v>2</v>
      </c>
      <c r="E10">
        <v>1</v>
      </c>
      <c r="F10">
        <v>1</v>
      </c>
      <c r="G10" t="s">
        <v>9</v>
      </c>
      <c r="H10" t="s">
        <v>10</v>
      </c>
    </row>
    <row r="11" spans="1:8" x14ac:dyDescent="0.25">
      <c r="A11">
        <v>2023</v>
      </c>
      <c r="B11">
        <v>10</v>
      </c>
      <c r="C11" t="s">
        <v>16</v>
      </c>
      <c r="D11">
        <v>3</v>
      </c>
      <c r="E11">
        <v>2</v>
      </c>
      <c r="F11">
        <v>0.5</v>
      </c>
      <c r="G11" t="s">
        <v>9</v>
      </c>
      <c r="H11" t="s">
        <v>10</v>
      </c>
    </row>
    <row r="12" spans="1:8" x14ac:dyDescent="0.25">
      <c r="A12">
        <v>2023</v>
      </c>
      <c r="B12">
        <v>11</v>
      </c>
      <c r="C12" t="s">
        <v>16</v>
      </c>
      <c r="D12">
        <v>7</v>
      </c>
      <c r="E12">
        <v>2</v>
      </c>
      <c r="F12">
        <v>0.5</v>
      </c>
      <c r="G12" t="s">
        <v>9</v>
      </c>
      <c r="H12" t="s">
        <v>10</v>
      </c>
    </row>
    <row r="13" spans="1:8" x14ac:dyDescent="0.25">
      <c r="A13">
        <v>2023</v>
      </c>
      <c r="B13">
        <v>12</v>
      </c>
      <c r="C13" t="s">
        <v>16</v>
      </c>
      <c r="D13">
        <v>34</v>
      </c>
      <c r="E13">
        <v>4</v>
      </c>
      <c r="F13">
        <v>0.75</v>
      </c>
      <c r="G13" t="s">
        <v>9</v>
      </c>
      <c r="H13" t="s">
        <v>10</v>
      </c>
    </row>
    <row r="14" spans="1:8" x14ac:dyDescent="0.25">
      <c r="A14">
        <v>2023</v>
      </c>
      <c r="B14">
        <v>13</v>
      </c>
      <c r="C14" t="s">
        <v>16</v>
      </c>
      <c r="D14">
        <v>4</v>
      </c>
      <c r="E14">
        <v>3</v>
      </c>
      <c r="F14">
        <v>0</v>
      </c>
      <c r="G14" t="s">
        <v>9</v>
      </c>
      <c r="H14" t="s">
        <v>10</v>
      </c>
    </row>
    <row r="15" spans="1:8" x14ac:dyDescent="0.25">
      <c r="A15">
        <v>2023</v>
      </c>
      <c r="B15">
        <v>14</v>
      </c>
      <c r="C15" t="s">
        <v>16</v>
      </c>
      <c r="D15">
        <v>19</v>
      </c>
      <c r="E15">
        <v>5</v>
      </c>
      <c r="F15">
        <v>1</v>
      </c>
      <c r="G15" t="s">
        <v>11</v>
      </c>
      <c r="H15" t="s">
        <v>12</v>
      </c>
    </row>
    <row r="16" spans="1:8" x14ac:dyDescent="0.25">
      <c r="A16">
        <v>2023</v>
      </c>
      <c r="B16">
        <v>15</v>
      </c>
      <c r="C16" t="s">
        <v>16</v>
      </c>
      <c r="D16">
        <v>28</v>
      </c>
      <c r="E16">
        <v>5</v>
      </c>
      <c r="F16">
        <f>3/5</f>
        <v>0.6</v>
      </c>
      <c r="G16" t="s">
        <v>9</v>
      </c>
      <c r="H16" t="s">
        <v>12</v>
      </c>
    </row>
    <row r="17" spans="1:8" x14ac:dyDescent="0.25">
      <c r="A17">
        <v>2023</v>
      </c>
      <c r="B17">
        <v>16</v>
      </c>
      <c r="C17" t="s">
        <v>16</v>
      </c>
      <c r="D17">
        <v>27</v>
      </c>
      <c r="E17">
        <v>4</v>
      </c>
      <c r="F17">
        <v>1</v>
      </c>
      <c r="G17" t="s">
        <v>9</v>
      </c>
      <c r="H17" t="s">
        <v>12</v>
      </c>
    </row>
    <row r="18" spans="1:8" x14ac:dyDescent="0.25">
      <c r="A18">
        <v>2023</v>
      </c>
      <c r="B18">
        <v>17</v>
      </c>
      <c r="C18" t="s">
        <v>16</v>
      </c>
      <c r="D18">
        <v>13</v>
      </c>
      <c r="E18">
        <v>7</v>
      </c>
      <c r="F18">
        <f>3/7</f>
        <v>0.42857142857142855</v>
      </c>
      <c r="G18" t="s">
        <v>9</v>
      </c>
      <c r="H18" t="s">
        <v>12</v>
      </c>
    </row>
    <row r="19" spans="1:8" x14ac:dyDescent="0.25">
      <c r="A19">
        <v>2023</v>
      </c>
      <c r="B19">
        <v>18</v>
      </c>
      <c r="C19" t="s">
        <v>16</v>
      </c>
      <c r="D19">
        <v>25</v>
      </c>
      <c r="E19">
        <v>4</v>
      </c>
      <c r="F19">
        <v>0.75</v>
      </c>
      <c r="G19" t="s">
        <v>9</v>
      </c>
      <c r="H19" t="s">
        <v>12</v>
      </c>
    </row>
    <row r="20" spans="1:8" x14ac:dyDescent="0.25">
      <c r="A20">
        <v>2023</v>
      </c>
      <c r="B20">
        <v>19</v>
      </c>
      <c r="C20" t="s">
        <v>16</v>
      </c>
      <c r="D20">
        <v>30</v>
      </c>
      <c r="E20">
        <v>8</v>
      </c>
      <c r="F20">
        <v>0.75</v>
      </c>
      <c r="G20" t="s">
        <v>11</v>
      </c>
      <c r="H20" t="s">
        <v>12</v>
      </c>
    </row>
    <row r="21" spans="1:8" x14ac:dyDescent="0.25">
      <c r="A21">
        <v>2023</v>
      </c>
      <c r="B21">
        <v>20</v>
      </c>
      <c r="C21" t="s">
        <v>16</v>
      </c>
      <c r="D21">
        <v>15</v>
      </c>
      <c r="E21">
        <v>3</v>
      </c>
      <c r="F21">
        <f>2/3</f>
        <v>0.66666666666666663</v>
      </c>
      <c r="G21" t="s">
        <v>9</v>
      </c>
      <c r="H21" t="s">
        <v>12</v>
      </c>
    </row>
    <row r="22" spans="1:8" x14ac:dyDescent="0.25">
      <c r="A22">
        <v>2023</v>
      </c>
      <c r="B22">
        <v>21</v>
      </c>
      <c r="C22" t="s">
        <v>16</v>
      </c>
      <c r="D22">
        <v>2</v>
      </c>
      <c r="E22">
        <v>2</v>
      </c>
      <c r="F22">
        <v>0</v>
      </c>
      <c r="G22" t="s">
        <v>9</v>
      </c>
      <c r="H22" t="s">
        <v>12</v>
      </c>
    </row>
    <row r="23" spans="1:8" x14ac:dyDescent="0.25">
      <c r="A23">
        <v>2023</v>
      </c>
      <c r="B23">
        <v>22</v>
      </c>
      <c r="C23" t="s">
        <v>16</v>
      </c>
      <c r="D23">
        <v>8</v>
      </c>
      <c r="E23">
        <v>4</v>
      </c>
      <c r="F23">
        <v>0.75</v>
      </c>
      <c r="G23" t="s">
        <v>9</v>
      </c>
      <c r="H23" t="s">
        <v>12</v>
      </c>
    </row>
    <row r="24" spans="1:8" x14ac:dyDescent="0.25">
      <c r="A24">
        <v>2023</v>
      </c>
      <c r="B24">
        <v>23</v>
      </c>
      <c r="C24" t="s">
        <v>16</v>
      </c>
      <c r="D24">
        <v>1</v>
      </c>
      <c r="E24">
        <v>1</v>
      </c>
      <c r="F24">
        <v>1</v>
      </c>
      <c r="G24" t="s">
        <v>9</v>
      </c>
      <c r="H24" t="s">
        <v>12</v>
      </c>
    </row>
    <row r="25" spans="1:8" x14ac:dyDescent="0.25">
      <c r="A25">
        <v>2023</v>
      </c>
      <c r="B25">
        <v>24</v>
      </c>
      <c r="C25" t="s">
        <v>16</v>
      </c>
      <c r="D25">
        <v>14</v>
      </c>
      <c r="E25">
        <v>4</v>
      </c>
      <c r="F25">
        <v>0.75</v>
      </c>
      <c r="G25" t="s">
        <v>11</v>
      </c>
      <c r="H25" t="s">
        <v>12</v>
      </c>
    </row>
    <row r="26" spans="1:8" x14ac:dyDescent="0.25">
      <c r="A26">
        <v>2023</v>
      </c>
      <c r="B26">
        <v>25</v>
      </c>
      <c r="C26" t="s">
        <v>16</v>
      </c>
      <c r="D26">
        <v>0</v>
      </c>
      <c r="E26">
        <v>0</v>
      </c>
      <c r="F26">
        <v>0</v>
      </c>
      <c r="G26" t="s">
        <v>9</v>
      </c>
      <c r="H26" t="s">
        <v>12</v>
      </c>
    </row>
    <row r="27" spans="1:8" x14ac:dyDescent="0.25">
      <c r="A27">
        <v>2023</v>
      </c>
      <c r="B27">
        <v>26</v>
      </c>
      <c r="C27" t="s">
        <v>16</v>
      </c>
      <c r="D27">
        <v>4</v>
      </c>
      <c r="E27">
        <v>2</v>
      </c>
      <c r="F27">
        <v>0.5</v>
      </c>
      <c r="G27" t="s">
        <v>9</v>
      </c>
      <c r="H27" t="s">
        <v>12</v>
      </c>
    </row>
    <row r="28" spans="1:8" x14ac:dyDescent="0.25">
      <c r="A28">
        <v>2023</v>
      </c>
      <c r="B28">
        <v>27</v>
      </c>
      <c r="C28" t="s">
        <v>16</v>
      </c>
      <c r="D28">
        <v>23</v>
      </c>
      <c r="E28">
        <v>9</v>
      </c>
      <c r="F28">
        <f>2/9</f>
        <v>0.22222222222222221</v>
      </c>
      <c r="G28" t="s">
        <v>9</v>
      </c>
      <c r="H28" t="s">
        <v>12</v>
      </c>
    </row>
    <row r="29" spans="1:8" x14ac:dyDescent="0.25">
      <c r="A29">
        <v>2023</v>
      </c>
      <c r="B29">
        <v>28</v>
      </c>
      <c r="C29" t="s">
        <v>16</v>
      </c>
      <c r="D29">
        <v>6</v>
      </c>
      <c r="E29">
        <v>2</v>
      </c>
      <c r="F29">
        <v>1</v>
      </c>
      <c r="G29" t="s">
        <v>9</v>
      </c>
      <c r="H29" t="s">
        <v>12</v>
      </c>
    </row>
    <row r="30" spans="1:8" x14ac:dyDescent="0.25">
      <c r="A30">
        <v>2023</v>
      </c>
      <c r="B30">
        <v>29</v>
      </c>
      <c r="C30" t="s">
        <v>16</v>
      </c>
      <c r="D30">
        <v>10</v>
      </c>
      <c r="E30">
        <v>5</v>
      </c>
      <c r="F30">
        <f>1/5</f>
        <v>0.2</v>
      </c>
      <c r="G30" t="s">
        <v>11</v>
      </c>
      <c r="H30" t="s">
        <v>12</v>
      </c>
    </row>
    <row r="31" spans="1:8" x14ac:dyDescent="0.25">
      <c r="A31">
        <v>2023</v>
      </c>
      <c r="B31">
        <v>30</v>
      </c>
      <c r="C31" t="s">
        <v>16</v>
      </c>
      <c r="D31">
        <v>14</v>
      </c>
      <c r="E31">
        <v>7</v>
      </c>
      <c r="F31">
        <v>1</v>
      </c>
      <c r="G31" t="s">
        <v>11</v>
      </c>
      <c r="H31" t="s">
        <v>12</v>
      </c>
    </row>
    <row r="32" spans="1:8" x14ac:dyDescent="0.25">
      <c r="A32">
        <v>2023</v>
      </c>
      <c r="B32">
        <v>31</v>
      </c>
      <c r="C32" t="s">
        <v>16</v>
      </c>
      <c r="D32">
        <v>0</v>
      </c>
      <c r="E32">
        <v>0</v>
      </c>
      <c r="F32">
        <v>0</v>
      </c>
      <c r="G32" t="s">
        <v>11</v>
      </c>
      <c r="H32" t="s">
        <v>12</v>
      </c>
    </row>
    <row r="33" spans="1:8" x14ac:dyDescent="0.25">
      <c r="A33">
        <v>2023</v>
      </c>
      <c r="B33">
        <v>32</v>
      </c>
      <c r="C33" t="s">
        <v>16</v>
      </c>
      <c r="D33">
        <v>11</v>
      </c>
      <c r="E33">
        <v>3</v>
      </c>
      <c r="F33">
        <f>2/3</f>
        <v>0.66666666666666663</v>
      </c>
      <c r="G33" t="s">
        <v>9</v>
      </c>
      <c r="H33" t="s">
        <v>12</v>
      </c>
    </row>
    <row r="34" spans="1:8" x14ac:dyDescent="0.25">
      <c r="A34">
        <v>2023</v>
      </c>
      <c r="B34">
        <v>33</v>
      </c>
      <c r="C34" t="s">
        <v>16</v>
      </c>
      <c r="D34">
        <v>10</v>
      </c>
      <c r="E34">
        <v>2</v>
      </c>
      <c r="F34">
        <v>0.5</v>
      </c>
      <c r="G34" t="s">
        <v>9</v>
      </c>
      <c r="H34" t="s">
        <v>12</v>
      </c>
    </row>
    <row r="35" spans="1:8" x14ac:dyDescent="0.25">
      <c r="A35">
        <v>2023</v>
      </c>
      <c r="B35">
        <v>34</v>
      </c>
      <c r="C35" t="s">
        <v>16</v>
      </c>
      <c r="D35">
        <v>4</v>
      </c>
      <c r="E35">
        <v>4</v>
      </c>
      <c r="F35">
        <v>0.5</v>
      </c>
      <c r="G35" t="s">
        <v>9</v>
      </c>
      <c r="H35" t="s">
        <v>12</v>
      </c>
    </row>
    <row r="36" spans="1:8" x14ac:dyDescent="0.25">
      <c r="A36">
        <v>2023</v>
      </c>
      <c r="B36">
        <v>35</v>
      </c>
      <c r="C36" t="s">
        <v>16</v>
      </c>
      <c r="D36">
        <v>1</v>
      </c>
      <c r="E36">
        <v>1</v>
      </c>
      <c r="F36">
        <v>1</v>
      </c>
      <c r="G36" t="s">
        <v>9</v>
      </c>
      <c r="H36" t="s">
        <v>12</v>
      </c>
    </row>
    <row r="37" spans="1:8" x14ac:dyDescent="0.25">
      <c r="A37">
        <v>2023</v>
      </c>
      <c r="B37">
        <v>36</v>
      </c>
      <c r="C37" t="s">
        <v>16</v>
      </c>
      <c r="D37">
        <v>7</v>
      </c>
      <c r="E37">
        <v>5</v>
      </c>
      <c r="F37">
        <f>2/5</f>
        <v>0.4</v>
      </c>
      <c r="G37" t="s">
        <v>9</v>
      </c>
      <c r="H37" t="s">
        <v>12</v>
      </c>
    </row>
    <row r="38" spans="1:8" x14ac:dyDescent="0.25">
      <c r="A38">
        <v>2023</v>
      </c>
      <c r="B38">
        <v>37</v>
      </c>
      <c r="C38" t="s">
        <v>16</v>
      </c>
      <c r="D38">
        <v>3</v>
      </c>
      <c r="E38">
        <v>1</v>
      </c>
      <c r="F38">
        <v>1</v>
      </c>
      <c r="G38" t="s">
        <v>9</v>
      </c>
      <c r="H38" t="s">
        <v>12</v>
      </c>
    </row>
    <row r="39" spans="1:8" x14ac:dyDescent="0.25">
      <c r="A39">
        <v>2023</v>
      </c>
      <c r="B39">
        <v>38</v>
      </c>
      <c r="C39" t="s">
        <v>16</v>
      </c>
      <c r="D39">
        <v>0</v>
      </c>
      <c r="E39">
        <v>0</v>
      </c>
      <c r="F39">
        <v>0</v>
      </c>
      <c r="G39" t="s">
        <v>9</v>
      </c>
      <c r="H39" t="s">
        <v>12</v>
      </c>
    </row>
    <row r="40" spans="1:8" x14ac:dyDescent="0.25">
      <c r="A40">
        <v>2023</v>
      </c>
      <c r="B40">
        <v>39</v>
      </c>
      <c r="C40" t="s">
        <v>16</v>
      </c>
      <c r="D40">
        <v>12</v>
      </c>
      <c r="E40">
        <v>1</v>
      </c>
      <c r="F40">
        <v>1</v>
      </c>
      <c r="G40" t="s">
        <v>9</v>
      </c>
      <c r="H40" t="s">
        <v>12</v>
      </c>
    </row>
    <row r="41" spans="1:8" x14ac:dyDescent="0.25">
      <c r="A41">
        <v>2023</v>
      </c>
      <c r="B41">
        <v>40</v>
      </c>
      <c r="C41" t="s">
        <v>16</v>
      </c>
      <c r="D41">
        <v>0</v>
      </c>
      <c r="E41">
        <v>0</v>
      </c>
      <c r="F41">
        <v>0</v>
      </c>
      <c r="G41" t="s">
        <v>9</v>
      </c>
      <c r="H41" t="s">
        <v>12</v>
      </c>
    </row>
    <row r="42" spans="1:8" x14ac:dyDescent="0.25">
      <c r="A42">
        <v>2023</v>
      </c>
      <c r="B42">
        <v>41</v>
      </c>
      <c r="C42" t="s">
        <v>16</v>
      </c>
      <c r="D42">
        <v>1</v>
      </c>
      <c r="E42">
        <v>1</v>
      </c>
      <c r="F42">
        <v>1</v>
      </c>
      <c r="G42" t="s">
        <v>9</v>
      </c>
      <c r="H42" t="s">
        <v>12</v>
      </c>
    </row>
    <row r="43" spans="1:8" x14ac:dyDescent="0.25">
      <c r="A43">
        <v>2023</v>
      </c>
      <c r="B43">
        <v>42</v>
      </c>
      <c r="C43" t="s">
        <v>16</v>
      </c>
      <c r="D43">
        <v>14</v>
      </c>
      <c r="E43">
        <v>2</v>
      </c>
      <c r="F43">
        <v>1</v>
      </c>
      <c r="G43" t="s">
        <v>9</v>
      </c>
      <c r="H43" t="s">
        <v>12</v>
      </c>
    </row>
    <row r="44" spans="1:8" x14ac:dyDescent="0.25">
      <c r="A44">
        <v>2023</v>
      </c>
      <c r="B44">
        <v>43</v>
      </c>
      <c r="C44" t="s">
        <v>16</v>
      </c>
      <c r="D44">
        <v>6</v>
      </c>
      <c r="E44">
        <v>1</v>
      </c>
      <c r="F44">
        <v>1</v>
      </c>
      <c r="G44" t="s">
        <v>9</v>
      </c>
      <c r="H44" t="s">
        <v>12</v>
      </c>
    </row>
    <row r="45" spans="1:8" x14ac:dyDescent="0.25">
      <c r="A45">
        <v>2023</v>
      </c>
      <c r="B45">
        <v>44</v>
      </c>
      <c r="C45" t="s">
        <v>16</v>
      </c>
      <c r="D45">
        <v>0</v>
      </c>
      <c r="E45">
        <v>0</v>
      </c>
      <c r="F45">
        <v>0</v>
      </c>
      <c r="G45" t="s">
        <v>9</v>
      </c>
      <c r="H45" t="s">
        <v>12</v>
      </c>
    </row>
    <row r="46" spans="1:8" x14ac:dyDescent="0.25">
      <c r="A46">
        <v>2023</v>
      </c>
      <c r="B46">
        <v>45</v>
      </c>
      <c r="C46" t="s">
        <v>16</v>
      </c>
      <c r="D46">
        <v>0</v>
      </c>
      <c r="E46">
        <v>0</v>
      </c>
      <c r="F46">
        <v>0</v>
      </c>
      <c r="G46" t="s">
        <v>9</v>
      </c>
      <c r="H46" t="s">
        <v>10</v>
      </c>
    </row>
    <row r="47" spans="1:8" x14ac:dyDescent="0.25">
      <c r="A47">
        <v>2023</v>
      </c>
      <c r="B47">
        <v>46</v>
      </c>
      <c r="C47" t="s">
        <v>16</v>
      </c>
      <c r="D47">
        <v>13</v>
      </c>
      <c r="E47">
        <v>4</v>
      </c>
      <c r="F47">
        <v>0.5</v>
      </c>
      <c r="G47" t="s">
        <v>9</v>
      </c>
      <c r="H47" t="s">
        <v>10</v>
      </c>
    </row>
    <row r="48" spans="1:8" x14ac:dyDescent="0.25">
      <c r="A48">
        <v>2023</v>
      </c>
      <c r="B48">
        <v>47</v>
      </c>
      <c r="C48" t="s">
        <v>16</v>
      </c>
      <c r="D48">
        <v>15</v>
      </c>
      <c r="E48">
        <v>2</v>
      </c>
      <c r="F48">
        <v>1</v>
      </c>
      <c r="G48" t="s">
        <v>9</v>
      </c>
      <c r="H48" t="s">
        <v>10</v>
      </c>
    </row>
    <row r="49" spans="1:8" x14ac:dyDescent="0.25">
      <c r="A49">
        <v>2023</v>
      </c>
      <c r="B49">
        <v>48</v>
      </c>
      <c r="C49" t="s">
        <v>16</v>
      </c>
      <c r="D49">
        <v>0</v>
      </c>
      <c r="E49">
        <v>0</v>
      </c>
      <c r="F49">
        <v>0</v>
      </c>
      <c r="G49" t="s">
        <v>9</v>
      </c>
      <c r="H49" t="s">
        <v>10</v>
      </c>
    </row>
    <row r="50" spans="1:8" x14ac:dyDescent="0.25">
      <c r="A50">
        <v>2023</v>
      </c>
      <c r="B50">
        <v>49</v>
      </c>
      <c r="C50" t="s">
        <v>16</v>
      </c>
      <c r="D50">
        <v>32</v>
      </c>
      <c r="E50">
        <v>2</v>
      </c>
      <c r="F50">
        <v>1</v>
      </c>
      <c r="G50" t="s">
        <v>9</v>
      </c>
      <c r="H50" t="s">
        <v>10</v>
      </c>
    </row>
    <row r="51" spans="1:8" x14ac:dyDescent="0.25">
      <c r="A51">
        <v>2023</v>
      </c>
      <c r="B51">
        <v>50</v>
      </c>
      <c r="C51" t="s">
        <v>16</v>
      </c>
      <c r="D51">
        <v>1</v>
      </c>
      <c r="E51">
        <v>1</v>
      </c>
      <c r="F51">
        <v>0</v>
      </c>
      <c r="G51" t="s">
        <v>11</v>
      </c>
      <c r="H51" t="s">
        <v>10</v>
      </c>
    </row>
    <row r="52" spans="1:8" x14ac:dyDescent="0.25">
      <c r="A52">
        <v>2023</v>
      </c>
      <c r="B52">
        <v>51</v>
      </c>
      <c r="C52" t="s">
        <v>16</v>
      </c>
      <c r="D52">
        <v>0</v>
      </c>
      <c r="E52">
        <v>0</v>
      </c>
      <c r="F52">
        <v>0</v>
      </c>
      <c r="G52" t="s">
        <v>11</v>
      </c>
      <c r="H52" t="s">
        <v>10</v>
      </c>
    </row>
    <row r="53" spans="1:8" x14ac:dyDescent="0.25">
      <c r="A53">
        <v>2023</v>
      </c>
      <c r="B53">
        <v>52</v>
      </c>
      <c r="C53" t="s">
        <v>16</v>
      </c>
      <c r="D53">
        <v>0</v>
      </c>
      <c r="E53">
        <v>0</v>
      </c>
      <c r="F53">
        <v>0</v>
      </c>
      <c r="G53" t="s">
        <v>11</v>
      </c>
      <c r="H53" t="s">
        <v>10</v>
      </c>
    </row>
    <row r="54" spans="1:8" x14ac:dyDescent="0.25">
      <c r="A54">
        <v>2024</v>
      </c>
      <c r="B54">
        <v>1</v>
      </c>
      <c r="C54" t="s">
        <v>16</v>
      </c>
      <c r="D54">
        <v>0</v>
      </c>
      <c r="E54">
        <v>0</v>
      </c>
      <c r="F54">
        <v>0</v>
      </c>
      <c r="G54" t="s">
        <v>9</v>
      </c>
      <c r="H54" t="s">
        <v>10</v>
      </c>
    </row>
    <row r="55" spans="1:8" x14ac:dyDescent="0.25">
      <c r="A55">
        <v>2024</v>
      </c>
      <c r="B55">
        <v>2</v>
      </c>
      <c r="C55" t="s">
        <v>16</v>
      </c>
      <c r="D55">
        <v>3</v>
      </c>
      <c r="E55">
        <v>1</v>
      </c>
      <c r="F55">
        <v>1</v>
      </c>
      <c r="G55" t="s">
        <v>9</v>
      </c>
      <c r="H55" t="s">
        <v>10</v>
      </c>
    </row>
    <row r="56" spans="1:8" x14ac:dyDescent="0.25">
      <c r="A56">
        <v>2024</v>
      </c>
      <c r="B56">
        <v>3</v>
      </c>
      <c r="C56" t="s">
        <v>16</v>
      </c>
      <c r="D56">
        <v>2</v>
      </c>
      <c r="E56">
        <v>2</v>
      </c>
      <c r="F56">
        <v>1</v>
      </c>
      <c r="G56" t="s">
        <v>9</v>
      </c>
      <c r="H56" t="s">
        <v>10</v>
      </c>
    </row>
    <row r="57" spans="1:8" x14ac:dyDescent="0.25">
      <c r="A57">
        <v>2024</v>
      </c>
      <c r="B57">
        <v>4</v>
      </c>
      <c r="C57" t="s">
        <v>16</v>
      </c>
      <c r="D57">
        <v>0</v>
      </c>
      <c r="E57">
        <v>0</v>
      </c>
      <c r="F57">
        <v>0</v>
      </c>
      <c r="G57" t="s">
        <v>9</v>
      </c>
      <c r="H57" t="s">
        <v>10</v>
      </c>
    </row>
    <row r="58" spans="1:8" x14ac:dyDescent="0.25">
      <c r="A58">
        <v>2024</v>
      </c>
      <c r="B58">
        <v>5</v>
      </c>
      <c r="C58" t="s">
        <v>16</v>
      </c>
      <c r="D58">
        <v>2</v>
      </c>
      <c r="E58">
        <v>1</v>
      </c>
      <c r="F58">
        <v>1</v>
      </c>
      <c r="G58" t="s">
        <v>9</v>
      </c>
      <c r="H58" t="s">
        <v>10</v>
      </c>
    </row>
    <row r="59" spans="1:8" x14ac:dyDescent="0.25">
      <c r="A59">
        <v>2024</v>
      </c>
      <c r="B59">
        <v>6</v>
      </c>
      <c r="C59" t="s">
        <v>16</v>
      </c>
      <c r="D59">
        <v>1</v>
      </c>
      <c r="E59">
        <v>1</v>
      </c>
      <c r="F59">
        <v>1</v>
      </c>
      <c r="G59" t="s">
        <v>9</v>
      </c>
      <c r="H59" t="s">
        <v>10</v>
      </c>
    </row>
    <row r="60" spans="1:8" x14ac:dyDescent="0.25">
      <c r="A60">
        <v>2024</v>
      </c>
      <c r="B60">
        <v>7</v>
      </c>
      <c r="C60" t="s">
        <v>16</v>
      </c>
      <c r="D60">
        <v>7</v>
      </c>
      <c r="E60">
        <v>2</v>
      </c>
      <c r="F60">
        <v>1</v>
      </c>
      <c r="G60" t="s">
        <v>11</v>
      </c>
      <c r="H60" t="s">
        <v>10</v>
      </c>
    </row>
    <row r="61" spans="1:8" x14ac:dyDescent="0.25">
      <c r="A61">
        <v>2024</v>
      </c>
      <c r="B61">
        <v>8</v>
      </c>
      <c r="C61" t="s">
        <v>16</v>
      </c>
      <c r="D61">
        <v>1</v>
      </c>
      <c r="E61">
        <v>1</v>
      </c>
      <c r="F61">
        <v>1</v>
      </c>
      <c r="G61" t="s">
        <v>9</v>
      </c>
      <c r="H61" t="s">
        <v>10</v>
      </c>
    </row>
    <row r="62" spans="1:8" x14ac:dyDescent="0.25">
      <c r="A62">
        <v>2024</v>
      </c>
      <c r="B62">
        <v>9</v>
      </c>
      <c r="C62" t="s">
        <v>16</v>
      </c>
      <c r="D62">
        <v>12</v>
      </c>
      <c r="E62">
        <v>2</v>
      </c>
      <c r="F62">
        <v>1</v>
      </c>
      <c r="G62" t="s">
        <v>9</v>
      </c>
      <c r="H62" t="s">
        <v>10</v>
      </c>
    </row>
    <row r="63" spans="1:8" x14ac:dyDescent="0.25">
      <c r="A63">
        <v>2024</v>
      </c>
      <c r="B63">
        <v>10</v>
      </c>
      <c r="C63" t="s">
        <v>16</v>
      </c>
      <c r="D63">
        <v>12</v>
      </c>
      <c r="E63">
        <v>1</v>
      </c>
      <c r="F63">
        <v>1</v>
      </c>
      <c r="G63" t="s">
        <v>9</v>
      </c>
      <c r="H63" t="s">
        <v>10</v>
      </c>
    </row>
    <row r="64" spans="1:8" x14ac:dyDescent="0.25">
      <c r="A64">
        <v>2024</v>
      </c>
      <c r="B64">
        <v>11</v>
      </c>
      <c r="C64" t="s">
        <v>16</v>
      </c>
      <c r="D64">
        <v>5</v>
      </c>
      <c r="E64">
        <v>2</v>
      </c>
      <c r="F64">
        <v>1</v>
      </c>
      <c r="G64" t="s">
        <v>9</v>
      </c>
      <c r="H64" t="s">
        <v>10</v>
      </c>
    </row>
    <row r="65" spans="1:8" x14ac:dyDescent="0.25">
      <c r="A65">
        <v>2024</v>
      </c>
      <c r="B65">
        <v>12</v>
      </c>
      <c r="C65" t="s">
        <v>16</v>
      </c>
      <c r="D65">
        <v>5</v>
      </c>
      <c r="E65">
        <v>2</v>
      </c>
      <c r="F65">
        <v>1</v>
      </c>
      <c r="G65" t="s">
        <v>9</v>
      </c>
      <c r="H65" t="s">
        <v>10</v>
      </c>
    </row>
    <row r="66" spans="1:8" x14ac:dyDescent="0.25">
      <c r="A66">
        <v>2024</v>
      </c>
      <c r="B66">
        <v>13</v>
      </c>
      <c r="C66" t="s">
        <v>16</v>
      </c>
      <c r="D66">
        <v>6</v>
      </c>
      <c r="E66">
        <v>1</v>
      </c>
      <c r="F66">
        <v>0</v>
      </c>
      <c r="G66" t="s">
        <v>11</v>
      </c>
      <c r="H66" t="s">
        <v>10</v>
      </c>
    </row>
    <row r="67" spans="1:8" x14ac:dyDescent="0.25">
      <c r="A67">
        <v>2024</v>
      </c>
      <c r="B67">
        <v>14</v>
      </c>
      <c r="C67" t="s">
        <v>16</v>
      </c>
      <c r="D67">
        <v>0</v>
      </c>
      <c r="E67">
        <v>0</v>
      </c>
      <c r="F67">
        <v>0</v>
      </c>
      <c r="G67" t="s">
        <v>9</v>
      </c>
      <c r="H67" t="s">
        <v>10</v>
      </c>
    </row>
    <row r="68" spans="1:8" x14ac:dyDescent="0.25">
      <c r="A68">
        <v>2024</v>
      </c>
      <c r="B68">
        <v>15</v>
      </c>
      <c r="C68" t="s">
        <v>16</v>
      </c>
      <c r="D68">
        <v>0</v>
      </c>
      <c r="E68">
        <v>0</v>
      </c>
      <c r="F68">
        <v>0</v>
      </c>
      <c r="G68" t="s">
        <v>9</v>
      </c>
      <c r="H68" t="s">
        <v>10</v>
      </c>
    </row>
    <row r="69" spans="1:8" x14ac:dyDescent="0.25">
      <c r="A69">
        <v>2024</v>
      </c>
      <c r="B69">
        <v>16</v>
      </c>
      <c r="C69" t="s">
        <v>16</v>
      </c>
      <c r="D69">
        <v>5</v>
      </c>
      <c r="E69">
        <v>2</v>
      </c>
      <c r="F69">
        <v>1</v>
      </c>
      <c r="G69" t="s">
        <v>11</v>
      </c>
      <c r="H69" t="s">
        <v>10</v>
      </c>
    </row>
    <row r="70" spans="1:8" x14ac:dyDescent="0.25">
      <c r="A70">
        <v>2024</v>
      </c>
      <c r="B70">
        <v>17</v>
      </c>
      <c r="C70" t="s">
        <v>16</v>
      </c>
      <c r="D70">
        <v>29</v>
      </c>
      <c r="E70">
        <v>5</v>
      </c>
      <c r="F70">
        <v>1</v>
      </c>
      <c r="G70" t="s">
        <v>9</v>
      </c>
      <c r="H70" t="s">
        <v>12</v>
      </c>
    </row>
    <row r="71" spans="1:8" x14ac:dyDescent="0.25">
      <c r="A71">
        <v>2024</v>
      </c>
      <c r="B71">
        <v>18</v>
      </c>
      <c r="C71" t="s">
        <v>16</v>
      </c>
      <c r="D71">
        <v>11</v>
      </c>
      <c r="E71">
        <v>3</v>
      </c>
      <c r="F71">
        <f>2/3</f>
        <v>0.66666666666666663</v>
      </c>
      <c r="G71" t="s">
        <v>9</v>
      </c>
      <c r="H71" t="s">
        <v>12</v>
      </c>
    </row>
    <row r="72" spans="1:8" x14ac:dyDescent="0.25">
      <c r="A72">
        <v>2024</v>
      </c>
      <c r="B72">
        <v>19</v>
      </c>
      <c r="C72" t="s">
        <v>16</v>
      </c>
      <c r="D72">
        <v>8</v>
      </c>
      <c r="E72">
        <v>5</v>
      </c>
      <c r="F72">
        <f>4/5</f>
        <v>0.8</v>
      </c>
      <c r="G72" t="s">
        <v>11</v>
      </c>
      <c r="H72" t="s">
        <v>12</v>
      </c>
    </row>
    <row r="73" spans="1:8" x14ac:dyDescent="0.25">
      <c r="A73">
        <v>2024</v>
      </c>
      <c r="B73">
        <v>20</v>
      </c>
      <c r="C73" t="s">
        <v>16</v>
      </c>
      <c r="D73">
        <v>0</v>
      </c>
      <c r="E73">
        <v>0</v>
      </c>
      <c r="F73">
        <v>0</v>
      </c>
      <c r="G73" t="s">
        <v>9</v>
      </c>
      <c r="H73" t="s">
        <v>12</v>
      </c>
    </row>
    <row r="74" spans="1:8" x14ac:dyDescent="0.25">
      <c r="A74">
        <v>2024</v>
      </c>
      <c r="B74">
        <v>21</v>
      </c>
      <c r="C74" t="s">
        <v>16</v>
      </c>
      <c r="D74">
        <v>0</v>
      </c>
      <c r="E74">
        <v>0</v>
      </c>
      <c r="F74">
        <v>0</v>
      </c>
      <c r="G74" t="s">
        <v>9</v>
      </c>
      <c r="H74" t="s">
        <v>12</v>
      </c>
    </row>
    <row r="75" spans="1:8" x14ac:dyDescent="0.25">
      <c r="A75">
        <v>2024</v>
      </c>
      <c r="B75">
        <v>22</v>
      </c>
      <c r="C75" t="s">
        <v>16</v>
      </c>
      <c r="D75">
        <v>0</v>
      </c>
      <c r="E75">
        <v>0</v>
      </c>
      <c r="F75">
        <v>0</v>
      </c>
      <c r="G75" t="s">
        <v>9</v>
      </c>
      <c r="H75" t="s">
        <v>12</v>
      </c>
    </row>
    <row r="76" spans="1:8" x14ac:dyDescent="0.25">
      <c r="A76">
        <v>2024</v>
      </c>
      <c r="B76">
        <v>23</v>
      </c>
      <c r="C76" t="s">
        <v>16</v>
      </c>
      <c r="D76">
        <v>4</v>
      </c>
      <c r="E76">
        <v>3</v>
      </c>
      <c r="F76">
        <f>1/3</f>
        <v>0.33333333333333331</v>
      </c>
      <c r="G76" t="s">
        <v>9</v>
      </c>
      <c r="H76" t="s">
        <v>12</v>
      </c>
    </row>
    <row r="77" spans="1:8" x14ac:dyDescent="0.25">
      <c r="A77">
        <v>2024</v>
      </c>
      <c r="B77">
        <v>24</v>
      </c>
      <c r="C77" t="s">
        <v>16</v>
      </c>
      <c r="D77">
        <v>1</v>
      </c>
      <c r="E77">
        <v>1</v>
      </c>
      <c r="F77">
        <v>1</v>
      </c>
      <c r="G77" t="s">
        <v>11</v>
      </c>
      <c r="H77" t="s">
        <v>12</v>
      </c>
    </row>
    <row r="78" spans="1:8" x14ac:dyDescent="0.25">
      <c r="A78">
        <v>2024</v>
      </c>
      <c r="B78">
        <v>25</v>
      </c>
      <c r="C78" t="s">
        <v>16</v>
      </c>
      <c r="D78">
        <v>4</v>
      </c>
      <c r="E78">
        <v>2</v>
      </c>
      <c r="F78">
        <v>0.5</v>
      </c>
      <c r="G78" t="s">
        <v>9</v>
      </c>
      <c r="H78" t="s">
        <v>12</v>
      </c>
    </row>
    <row r="79" spans="1:8" x14ac:dyDescent="0.25">
      <c r="A79">
        <v>2024</v>
      </c>
      <c r="B79">
        <v>26</v>
      </c>
      <c r="C79" t="s">
        <v>16</v>
      </c>
      <c r="D79">
        <v>4</v>
      </c>
      <c r="E79">
        <v>3</v>
      </c>
      <c r="F79">
        <f>2/3</f>
        <v>0.66666666666666663</v>
      </c>
      <c r="G79" t="s">
        <v>9</v>
      </c>
      <c r="H79" t="s">
        <v>12</v>
      </c>
    </row>
    <row r="80" spans="1:8" x14ac:dyDescent="0.25">
      <c r="A80">
        <v>2024</v>
      </c>
      <c r="B80">
        <v>27</v>
      </c>
      <c r="C80" t="s">
        <v>16</v>
      </c>
      <c r="D80">
        <v>0</v>
      </c>
      <c r="E80">
        <v>0</v>
      </c>
      <c r="F80">
        <v>0</v>
      </c>
      <c r="G80" t="s">
        <v>9</v>
      </c>
      <c r="H80" t="s">
        <v>12</v>
      </c>
    </row>
    <row r="81" spans="1:8" x14ac:dyDescent="0.25">
      <c r="A81">
        <v>2024</v>
      </c>
      <c r="B81">
        <v>28</v>
      </c>
      <c r="C81" t="s">
        <v>16</v>
      </c>
      <c r="D81">
        <v>6</v>
      </c>
      <c r="E81">
        <v>3</v>
      </c>
      <c r="F81">
        <f>2/3</f>
        <v>0.66666666666666663</v>
      </c>
      <c r="G81" t="s">
        <v>9</v>
      </c>
      <c r="H81" t="s">
        <v>12</v>
      </c>
    </row>
    <row r="82" spans="1:8" x14ac:dyDescent="0.25">
      <c r="A82">
        <v>2024</v>
      </c>
      <c r="B82">
        <v>29</v>
      </c>
      <c r="C82" t="s">
        <v>16</v>
      </c>
      <c r="D82">
        <v>4</v>
      </c>
      <c r="E82">
        <v>1</v>
      </c>
      <c r="F82">
        <v>1</v>
      </c>
      <c r="G82" t="s">
        <v>9</v>
      </c>
      <c r="H82" t="s">
        <v>12</v>
      </c>
    </row>
    <row r="83" spans="1:8" x14ac:dyDescent="0.25">
      <c r="A83">
        <v>2024</v>
      </c>
      <c r="B83">
        <v>30</v>
      </c>
      <c r="C83" t="s">
        <v>16</v>
      </c>
      <c r="D83">
        <v>8</v>
      </c>
      <c r="E83">
        <v>2</v>
      </c>
      <c r="F83">
        <v>1</v>
      </c>
      <c r="G83" t="s">
        <v>11</v>
      </c>
      <c r="H83" t="s">
        <v>12</v>
      </c>
    </row>
    <row r="84" spans="1:8" x14ac:dyDescent="0.25">
      <c r="A84">
        <v>2024</v>
      </c>
      <c r="B84">
        <v>31</v>
      </c>
      <c r="C84" t="s">
        <v>16</v>
      </c>
      <c r="D84">
        <v>12</v>
      </c>
      <c r="E84">
        <v>1</v>
      </c>
      <c r="F84">
        <v>1</v>
      </c>
      <c r="G84" t="s">
        <v>9</v>
      </c>
      <c r="H84" t="s">
        <v>12</v>
      </c>
    </row>
    <row r="85" spans="1:8" x14ac:dyDescent="0.25">
      <c r="A85">
        <v>2024</v>
      </c>
      <c r="B85">
        <v>32</v>
      </c>
      <c r="C85" t="s">
        <v>16</v>
      </c>
      <c r="D85">
        <v>26</v>
      </c>
      <c r="E85">
        <v>3</v>
      </c>
      <c r="F85">
        <v>1</v>
      </c>
      <c r="G85" t="s">
        <v>9</v>
      </c>
      <c r="H85" t="s">
        <v>12</v>
      </c>
    </row>
    <row r="86" spans="1:8" x14ac:dyDescent="0.25">
      <c r="A86">
        <v>2024</v>
      </c>
      <c r="B86">
        <v>33</v>
      </c>
      <c r="C86" t="s">
        <v>16</v>
      </c>
      <c r="D86">
        <v>2</v>
      </c>
      <c r="E86">
        <v>1</v>
      </c>
      <c r="F86">
        <v>1</v>
      </c>
      <c r="G86" t="s">
        <v>9</v>
      </c>
      <c r="H86" t="s">
        <v>12</v>
      </c>
    </row>
    <row r="87" spans="1:8" x14ac:dyDescent="0.25">
      <c r="A87">
        <v>2024</v>
      </c>
      <c r="B87">
        <v>34</v>
      </c>
      <c r="C87" t="s">
        <v>16</v>
      </c>
      <c r="D87">
        <v>16</v>
      </c>
      <c r="E87">
        <v>3</v>
      </c>
      <c r="F87">
        <f>2/3</f>
        <v>0.66666666666666663</v>
      </c>
      <c r="G87" t="s">
        <v>9</v>
      </c>
      <c r="H87" t="s">
        <v>12</v>
      </c>
    </row>
    <row r="88" spans="1:8" x14ac:dyDescent="0.25">
      <c r="A88">
        <v>2024</v>
      </c>
      <c r="B88">
        <v>35</v>
      </c>
      <c r="C88" t="s">
        <v>16</v>
      </c>
      <c r="D88">
        <v>0</v>
      </c>
      <c r="E88">
        <v>0</v>
      </c>
      <c r="F88">
        <v>0</v>
      </c>
      <c r="G88" t="s">
        <v>9</v>
      </c>
      <c r="H88" t="s">
        <v>12</v>
      </c>
    </row>
    <row r="89" spans="1:8" x14ac:dyDescent="0.25">
      <c r="A89">
        <v>2024</v>
      </c>
      <c r="B89">
        <v>36</v>
      </c>
      <c r="C89" t="s">
        <v>16</v>
      </c>
      <c r="D89">
        <v>0</v>
      </c>
      <c r="E89">
        <v>0</v>
      </c>
      <c r="F89">
        <v>0</v>
      </c>
      <c r="G89" t="s">
        <v>9</v>
      </c>
      <c r="H89" t="s">
        <v>12</v>
      </c>
    </row>
    <row r="90" spans="1:8" x14ac:dyDescent="0.25">
      <c r="A90">
        <v>2024</v>
      </c>
      <c r="B90">
        <v>37</v>
      </c>
      <c r="C90" t="s">
        <v>16</v>
      </c>
      <c r="D90">
        <v>0</v>
      </c>
      <c r="E90">
        <v>0</v>
      </c>
      <c r="F90">
        <v>0</v>
      </c>
      <c r="G90" t="s">
        <v>9</v>
      </c>
      <c r="H90" t="s">
        <v>12</v>
      </c>
    </row>
    <row r="91" spans="1:8" x14ac:dyDescent="0.25">
      <c r="A91">
        <v>2024</v>
      </c>
      <c r="B91">
        <v>38</v>
      </c>
      <c r="C91" t="s">
        <v>16</v>
      </c>
      <c r="D91">
        <v>0</v>
      </c>
      <c r="E91">
        <v>0</v>
      </c>
      <c r="F91">
        <v>0</v>
      </c>
      <c r="G91" t="s">
        <v>9</v>
      </c>
      <c r="H91" t="s">
        <v>12</v>
      </c>
    </row>
    <row r="92" spans="1:8" x14ac:dyDescent="0.25">
      <c r="A92">
        <v>2024</v>
      </c>
      <c r="B92">
        <v>39</v>
      </c>
      <c r="C92" t="s">
        <v>16</v>
      </c>
      <c r="D92">
        <v>28</v>
      </c>
      <c r="E92">
        <v>3</v>
      </c>
      <c r="F92">
        <f>2/3</f>
        <v>0.66666666666666663</v>
      </c>
      <c r="G92" t="s">
        <v>9</v>
      </c>
      <c r="H92" t="s">
        <v>12</v>
      </c>
    </row>
    <row r="93" spans="1:8" x14ac:dyDescent="0.25">
      <c r="A93">
        <v>2024</v>
      </c>
      <c r="B93">
        <v>40</v>
      </c>
      <c r="C93" t="s">
        <v>16</v>
      </c>
      <c r="D93">
        <v>7</v>
      </c>
      <c r="E93">
        <v>2</v>
      </c>
      <c r="F93">
        <v>0.5</v>
      </c>
      <c r="G93" t="s">
        <v>9</v>
      </c>
      <c r="H93" t="s">
        <v>12</v>
      </c>
    </row>
    <row r="94" spans="1:8" x14ac:dyDescent="0.25">
      <c r="A94">
        <v>2024</v>
      </c>
      <c r="B94">
        <v>41</v>
      </c>
      <c r="C94" t="s">
        <v>16</v>
      </c>
      <c r="D94">
        <v>4</v>
      </c>
      <c r="E94">
        <v>1</v>
      </c>
      <c r="F94">
        <v>1</v>
      </c>
      <c r="G94" t="s">
        <v>9</v>
      </c>
      <c r="H94" t="s">
        <v>12</v>
      </c>
    </row>
    <row r="95" spans="1:8" x14ac:dyDescent="0.25">
      <c r="A95">
        <v>2024</v>
      </c>
      <c r="B95">
        <v>42</v>
      </c>
      <c r="C95" t="s">
        <v>16</v>
      </c>
      <c r="D95">
        <v>0</v>
      </c>
      <c r="E95">
        <v>0</v>
      </c>
      <c r="F95">
        <v>0</v>
      </c>
      <c r="G95" t="s">
        <v>9</v>
      </c>
      <c r="H95" t="s">
        <v>12</v>
      </c>
    </row>
    <row r="96" spans="1:8" x14ac:dyDescent="0.25">
      <c r="A96">
        <v>2024</v>
      </c>
      <c r="B96">
        <v>43</v>
      </c>
      <c r="C96" t="s">
        <v>16</v>
      </c>
      <c r="D96">
        <v>28</v>
      </c>
      <c r="E96">
        <v>6</v>
      </c>
      <c r="F96">
        <f>4/6</f>
        <v>0.66666666666666663</v>
      </c>
      <c r="G96" t="s">
        <v>9</v>
      </c>
      <c r="H96" t="s">
        <v>12</v>
      </c>
    </row>
    <row r="97" spans="1:8" x14ac:dyDescent="0.25">
      <c r="A97">
        <v>2024</v>
      </c>
      <c r="B97">
        <v>44</v>
      </c>
      <c r="C97" t="s">
        <v>16</v>
      </c>
      <c r="D97">
        <v>29</v>
      </c>
      <c r="E97">
        <v>4</v>
      </c>
      <c r="F97">
        <f>3/4</f>
        <v>0.75</v>
      </c>
      <c r="G97" t="s">
        <v>9</v>
      </c>
      <c r="H97" t="s">
        <v>10</v>
      </c>
    </row>
    <row r="98" spans="1:8" x14ac:dyDescent="0.25">
      <c r="A98">
        <v>2024</v>
      </c>
      <c r="B98">
        <v>45</v>
      </c>
      <c r="C98" t="s">
        <v>16</v>
      </c>
      <c r="D98">
        <v>6</v>
      </c>
      <c r="E98">
        <v>1</v>
      </c>
      <c r="F98">
        <v>1</v>
      </c>
      <c r="G98" t="s">
        <v>9</v>
      </c>
      <c r="H98" t="s">
        <v>10</v>
      </c>
    </row>
    <row r="99" spans="1:8" x14ac:dyDescent="0.25">
      <c r="A99">
        <v>2024</v>
      </c>
      <c r="B99">
        <v>46</v>
      </c>
      <c r="C99" t="s">
        <v>16</v>
      </c>
      <c r="D99">
        <v>7</v>
      </c>
      <c r="E99">
        <v>2</v>
      </c>
      <c r="F99">
        <v>0.5</v>
      </c>
      <c r="G99" t="s">
        <v>9</v>
      </c>
      <c r="H99" t="s">
        <v>10</v>
      </c>
    </row>
    <row r="100" spans="1:8" x14ac:dyDescent="0.25">
      <c r="A100">
        <v>2024</v>
      </c>
      <c r="B100">
        <v>47</v>
      </c>
      <c r="C100" t="s">
        <v>16</v>
      </c>
      <c r="D100">
        <v>4</v>
      </c>
      <c r="E100">
        <v>2</v>
      </c>
      <c r="F100">
        <v>0.5</v>
      </c>
      <c r="G100" t="s">
        <v>9</v>
      </c>
      <c r="H100" t="s">
        <v>10</v>
      </c>
    </row>
    <row r="101" spans="1:8" x14ac:dyDescent="0.25">
      <c r="A101">
        <v>2024</v>
      </c>
      <c r="B101">
        <v>48</v>
      </c>
      <c r="C101" t="s">
        <v>16</v>
      </c>
      <c r="D101">
        <v>4</v>
      </c>
      <c r="E101">
        <v>3</v>
      </c>
      <c r="F101">
        <v>1</v>
      </c>
      <c r="G101" t="s">
        <v>9</v>
      </c>
      <c r="H101" t="s">
        <v>10</v>
      </c>
    </row>
    <row r="102" spans="1:8" x14ac:dyDescent="0.25">
      <c r="A102">
        <v>2024</v>
      </c>
      <c r="B102">
        <v>49</v>
      </c>
      <c r="C102" t="s">
        <v>16</v>
      </c>
      <c r="D102">
        <v>16</v>
      </c>
      <c r="E102">
        <v>3</v>
      </c>
      <c r="F102">
        <v>1</v>
      </c>
      <c r="G102" t="s">
        <v>9</v>
      </c>
      <c r="H102" t="s">
        <v>10</v>
      </c>
    </row>
    <row r="103" spans="1:8" x14ac:dyDescent="0.25">
      <c r="A103">
        <v>2024</v>
      </c>
      <c r="B103">
        <v>50</v>
      </c>
      <c r="C103" t="s">
        <v>16</v>
      </c>
      <c r="D103">
        <v>3</v>
      </c>
      <c r="E103">
        <v>3</v>
      </c>
      <c r="F103">
        <v>0</v>
      </c>
      <c r="G103" t="s">
        <v>9</v>
      </c>
      <c r="H103" t="s">
        <v>10</v>
      </c>
    </row>
    <row r="104" spans="1:8" x14ac:dyDescent="0.25">
      <c r="A104">
        <v>2024</v>
      </c>
      <c r="B104">
        <v>51</v>
      </c>
      <c r="C104" t="s">
        <v>16</v>
      </c>
      <c r="D104">
        <v>17</v>
      </c>
      <c r="E104">
        <v>2</v>
      </c>
      <c r="F104">
        <v>1</v>
      </c>
      <c r="G104" t="s">
        <v>11</v>
      </c>
      <c r="H104" t="s">
        <v>10</v>
      </c>
    </row>
    <row r="105" spans="1:8" x14ac:dyDescent="0.25">
      <c r="A105">
        <v>2024</v>
      </c>
      <c r="B105">
        <v>52</v>
      </c>
      <c r="C105" t="s">
        <v>16</v>
      </c>
      <c r="D105">
        <v>0</v>
      </c>
      <c r="E105">
        <v>0</v>
      </c>
      <c r="F105">
        <v>0</v>
      </c>
      <c r="G105" t="s">
        <v>11</v>
      </c>
      <c r="H105" t="s">
        <v>10</v>
      </c>
    </row>
    <row r="106" spans="1:8" x14ac:dyDescent="0.25">
      <c r="A106">
        <v>2024</v>
      </c>
      <c r="B106">
        <v>53</v>
      </c>
      <c r="C106" t="s">
        <v>16</v>
      </c>
      <c r="D106">
        <v>6</v>
      </c>
      <c r="E106">
        <v>2</v>
      </c>
      <c r="F106">
        <v>1</v>
      </c>
      <c r="G106" t="s">
        <v>11</v>
      </c>
      <c r="H106" t="s">
        <v>10</v>
      </c>
    </row>
    <row r="107" spans="1:8" x14ac:dyDescent="0.25">
      <c r="A107">
        <v>2025</v>
      </c>
      <c r="B107">
        <v>1</v>
      </c>
      <c r="C107" t="s">
        <v>16</v>
      </c>
      <c r="D107">
        <v>0</v>
      </c>
      <c r="E107">
        <v>0</v>
      </c>
      <c r="F107">
        <v>0</v>
      </c>
      <c r="G107" t="s">
        <v>9</v>
      </c>
      <c r="H107" t="s">
        <v>10</v>
      </c>
    </row>
    <row r="108" spans="1:8" x14ac:dyDescent="0.25">
      <c r="A108">
        <v>2025</v>
      </c>
      <c r="B108">
        <v>2</v>
      </c>
      <c r="C108" t="s">
        <v>16</v>
      </c>
      <c r="D108">
        <v>0</v>
      </c>
      <c r="E108">
        <v>0</v>
      </c>
      <c r="F108">
        <v>0</v>
      </c>
      <c r="G108" t="s">
        <v>9</v>
      </c>
      <c r="H108" t="s">
        <v>10</v>
      </c>
    </row>
    <row r="109" spans="1:8" x14ac:dyDescent="0.25">
      <c r="A109">
        <v>2025</v>
      </c>
      <c r="B109">
        <v>3</v>
      </c>
      <c r="C109" t="s">
        <v>16</v>
      </c>
      <c r="D109">
        <v>0</v>
      </c>
      <c r="E109">
        <v>0</v>
      </c>
      <c r="F109">
        <v>0</v>
      </c>
      <c r="G109" t="s">
        <v>9</v>
      </c>
      <c r="H109" t="s">
        <v>10</v>
      </c>
    </row>
    <row r="110" spans="1:8" x14ac:dyDescent="0.25">
      <c r="A110">
        <v>2025</v>
      </c>
      <c r="B110">
        <v>4</v>
      </c>
      <c r="C110" t="s">
        <v>16</v>
      </c>
      <c r="D110">
        <v>12</v>
      </c>
      <c r="E110">
        <v>1</v>
      </c>
      <c r="F110">
        <v>1</v>
      </c>
      <c r="G110" t="s">
        <v>9</v>
      </c>
      <c r="H110" t="s">
        <v>10</v>
      </c>
    </row>
    <row r="111" spans="1:8" x14ac:dyDescent="0.25">
      <c r="A111">
        <v>2025</v>
      </c>
      <c r="B111">
        <v>5</v>
      </c>
      <c r="C111" t="s">
        <v>16</v>
      </c>
      <c r="D111">
        <v>0</v>
      </c>
      <c r="E111">
        <v>0</v>
      </c>
      <c r="F111">
        <v>0</v>
      </c>
      <c r="G111" t="s">
        <v>9</v>
      </c>
      <c r="H111" t="s">
        <v>10</v>
      </c>
    </row>
    <row r="112" spans="1:8" x14ac:dyDescent="0.25">
      <c r="A112">
        <v>2025</v>
      </c>
      <c r="B112">
        <v>6</v>
      </c>
      <c r="C112" t="s">
        <v>16</v>
      </c>
      <c r="D112">
        <v>0</v>
      </c>
      <c r="E112">
        <v>0</v>
      </c>
      <c r="F112">
        <v>0</v>
      </c>
      <c r="G112" t="s">
        <v>9</v>
      </c>
      <c r="H112" t="s">
        <v>10</v>
      </c>
    </row>
    <row r="113" spans="1:8" x14ac:dyDescent="0.25">
      <c r="A113">
        <v>2025</v>
      </c>
      <c r="B113">
        <v>7</v>
      </c>
      <c r="C113" t="s">
        <v>16</v>
      </c>
      <c r="D113">
        <v>0</v>
      </c>
      <c r="E113">
        <v>0</v>
      </c>
      <c r="F113">
        <v>0</v>
      </c>
      <c r="G113" t="s">
        <v>9</v>
      </c>
      <c r="H113" t="s">
        <v>10</v>
      </c>
    </row>
    <row r="114" spans="1:8" x14ac:dyDescent="0.25">
      <c r="A114">
        <v>2025</v>
      </c>
      <c r="B114">
        <v>8</v>
      </c>
      <c r="C114" t="s">
        <v>16</v>
      </c>
      <c r="D114">
        <v>0</v>
      </c>
      <c r="E114">
        <v>0</v>
      </c>
      <c r="F114">
        <v>0</v>
      </c>
      <c r="G114" t="s">
        <v>11</v>
      </c>
      <c r="H114" t="s">
        <v>10</v>
      </c>
    </row>
    <row r="115" spans="1:8" x14ac:dyDescent="0.25">
      <c r="A115">
        <v>2025</v>
      </c>
      <c r="B115">
        <v>9</v>
      </c>
      <c r="C115" t="s">
        <v>16</v>
      </c>
      <c r="D115">
        <v>0</v>
      </c>
      <c r="E115">
        <v>0</v>
      </c>
      <c r="F115">
        <v>0</v>
      </c>
      <c r="G115" t="s">
        <v>11</v>
      </c>
      <c r="H115" t="s">
        <v>10</v>
      </c>
    </row>
    <row r="116" spans="1:8" x14ac:dyDescent="0.25">
      <c r="A116">
        <v>2025</v>
      </c>
      <c r="B116">
        <v>10</v>
      </c>
      <c r="C116" t="s">
        <v>16</v>
      </c>
      <c r="D116">
        <v>0</v>
      </c>
      <c r="E116">
        <v>0</v>
      </c>
      <c r="F116">
        <v>0</v>
      </c>
      <c r="G116" t="s">
        <v>9</v>
      </c>
      <c r="H116" t="s">
        <v>10</v>
      </c>
    </row>
    <row r="117" spans="1:8" x14ac:dyDescent="0.25">
      <c r="A117">
        <v>2025</v>
      </c>
      <c r="B117">
        <v>11</v>
      </c>
      <c r="C117" t="s">
        <v>16</v>
      </c>
      <c r="D117">
        <v>3</v>
      </c>
      <c r="E117">
        <v>1</v>
      </c>
      <c r="F117">
        <v>1</v>
      </c>
      <c r="G117" t="s">
        <v>9</v>
      </c>
      <c r="H117" t="s">
        <v>10</v>
      </c>
    </row>
    <row r="118" spans="1:8" x14ac:dyDescent="0.25">
      <c r="A118">
        <v>2025</v>
      </c>
      <c r="B118">
        <v>12</v>
      </c>
      <c r="C118" t="s">
        <v>16</v>
      </c>
      <c r="D118">
        <v>0</v>
      </c>
      <c r="E118">
        <v>0</v>
      </c>
      <c r="F118">
        <v>0</v>
      </c>
      <c r="G118" t="s">
        <v>9</v>
      </c>
      <c r="H118" t="s">
        <v>10</v>
      </c>
    </row>
    <row r="119" spans="1:8" x14ac:dyDescent="0.25">
      <c r="A119">
        <v>2025</v>
      </c>
      <c r="B119">
        <v>13</v>
      </c>
      <c r="C119" t="s">
        <v>16</v>
      </c>
      <c r="D119">
        <v>0</v>
      </c>
      <c r="E119">
        <v>0</v>
      </c>
      <c r="F119">
        <v>0</v>
      </c>
      <c r="G119" t="s">
        <v>9</v>
      </c>
      <c r="H119" t="s">
        <v>12</v>
      </c>
    </row>
    <row r="120" spans="1:8" x14ac:dyDescent="0.25">
      <c r="A120">
        <v>2025</v>
      </c>
      <c r="B120">
        <v>14</v>
      </c>
      <c r="C120" t="s">
        <v>16</v>
      </c>
      <c r="D120">
        <v>2</v>
      </c>
      <c r="E120">
        <v>1</v>
      </c>
      <c r="F120">
        <v>1</v>
      </c>
      <c r="G120" t="s">
        <v>9</v>
      </c>
      <c r="H120" t="s">
        <v>12</v>
      </c>
    </row>
    <row r="121" spans="1:8" x14ac:dyDescent="0.25">
      <c r="A121">
        <v>2025</v>
      </c>
      <c r="B121">
        <v>15</v>
      </c>
      <c r="C121" t="s">
        <v>16</v>
      </c>
      <c r="D121">
        <v>0</v>
      </c>
      <c r="E121">
        <v>0</v>
      </c>
      <c r="F121">
        <v>0</v>
      </c>
      <c r="G121" t="s">
        <v>9</v>
      </c>
      <c r="H121" t="s">
        <v>12</v>
      </c>
    </row>
    <row r="122" spans="1:8" x14ac:dyDescent="0.25">
      <c r="A122">
        <v>2025</v>
      </c>
      <c r="B122">
        <v>16</v>
      </c>
      <c r="C122" t="s">
        <v>16</v>
      </c>
      <c r="D122">
        <v>14</v>
      </c>
      <c r="E122">
        <v>3</v>
      </c>
      <c r="F122">
        <f>1/3</f>
        <v>0.33333333333333331</v>
      </c>
      <c r="G122" t="s">
        <v>11</v>
      </c>
      <c r="H122" t="s">
        <v>12</v>
      </c>
    </row>
    <row r="123" spans="1:8" x14ac:dyDescent="0.25">
      <c r="A123">
        <v>2025</v>
      </c>
      <c r="B123">
        <v>17</v>
      </c>
      <c r="C123" t="s">
        <v>16</v>
      </c>
      <c r="D123">
        <v>0</v>
      </c>
      <c r="E123">
        <v>0</v>
      </c>
      <c r="F123">
        <v>0</v>
      </c>
      <c r="G123" t="s">
        <v>11</v>
      </c>
      <c r="H123" t="s">
        <v>12</v>
      </c>
    </row>
    <row r="124" spans="1:8" x14ac:dyDescent="0.25">
      <c r="A124">
        <v>2025</v>
      </c>
      <c r="B124">
        <v>18</v>
      </c>
      <c r="C124" t="s">
        <v>16</v>
      </c>
      <c r="D124">
        <v>0</v>
      </c>
      <c r="E124">
        <v>0</v>
      </c>
      <c r="F124">
        <v>0</v>
      </c>
      <c r="G124" t="s">
        <v>9</v>
      </c>
      <c r="H124" t="s">
        <v>12</v>
      </c>
    </row>
    <row r="125" spans="1:8" x14ac:dyDescent="0.25">
      <c r="A125">
        <v>2025</v>
      </c>
      <c r="B125">
        <v>19</v>
      </c>
      <c r="C125" t="s">
        <v>16</v>
      </c>
      <c r="D125">
        <v>6</v>
      </c>
      <c r="E125">
        <v>1</v>
      </c>
      <c r="F125">
        <v>1</v>
      </c>
      <c r="G125" t="s">
        <v>11</v>
      </c>
      <c r="H125" t="s">
        <v>12</v>
      </c>
    </row>
    <row r="126" spans="1:8" x14ac:dyDescent="0.25">
      <c r="A126">
        <v>2025</v>
      </c>
      <c r="B126">
        <v>20</v>
      </c>
      <c r="C126" t="s">
        <v>16</v>
      </c>
      <c r="D126">
        <v>0</v>
      </c>
      <c r="E126">
        <v>0</v>
      </c>
      <c r="F126">
        <v>0</v>
      </c>
      <c r="G126" t="s">
        <v>9</v>
      </c>
      <c r="H126" t="s">
        <v>12</v>
      </c>
    </row>
    <row r="127" spans="1:8" x14ac:dyDescent="0.25">
      <c r="A127">
        <v>2025</v>
      </c>
      <c r="B127">
        <v>21</v>
      </c>
      <c r="C127" t="s">
        <v>16</v>
      </c>
      <c r="D127">
        <v>10</v>
      </c>
      <c r="E127">
        <v>2</v>
      </c>
      <c r="F127">
        <v>1</v>
      </c>
      <c r="G127" t="s">
        <v>9</v>
      </c>
      <c r="H127" t="s">
        <v>12</v>
      </c>
    </row>
    <row r="128" spans="1:8" x14ac:dyDescent="0.25">
      <c r="A128">
        <v>2025</v>
      </c>
      <c r="B128">
        <v>22</v>
      </c>
      <c r="C128" t="s">
        <v>16</v>
      </c>
      <c r="D128">
        <v>0</v>
      </c>
      <c r="E128">
        <v>0</v>
      </c>
      <c r="F128">
        <v>0</v>
      </c>
      <c r="G128" t="s">
        <v>9</v>
      </c>
      <c r="H128" t="s">
        <v>12</v>
      </c>
    </row>
    <row r="129" spans="1:8" x14ac:dyDescent="0.25">
      <c r="A129">
        <v>2025</v>
      </c>
      <c r="B129">
        <v>23</v>
      </c>
      <c r="C129" t="s">
        <v>16</v>
      </c>
      <c r="D129">
        <v>0</v>
      </c>
      <c r="E129">
        <v>0</v>
      </c>
      <c r="F129">
        <v>0</v>
      </c>
      <c r="G129" t="s">
        <v>9</v>
      </c>
      <c r="H129" t="s">
        <v>12</v>
      </c>
    </row>
    <row r="130" spans="1:8" x14ac:dyDescent="0.25">
      <c r="A130">
        <v>2025</v>
      </c>
      <c r="B130">
        <v>24</v>
      </c>
      <c r="C130" t="s">
        <v>16</v>
      </c>
      <c r="D130">
        <v>1</v>
      </c>
      <c r="E130">
        <v>1</v>
      </c>
      <c r="F130">
        <v>1</v>
      </c>
      <c r="G130" t="s">
        <v>11</v>
      </c>
      <c r="H130" t="s">
        <v>12</v>
      </c>
    </row>
    <row r="131" spans="1:8" x14ac:dyDescent="0.25">
      <c r="A131">
        <v>2025</v>
      </c>
      <c r="B131">
        <v>25</v>
      </c>
      <c r="C131" t="s">
        <v>16</v>
      </c>
      <c r="D131">
        <v>1</v>
      </c>
      <c r="E131">
        <v>1</v>
      </c>
      <c r="F131">
        <v>1</v>
      </c>
      <c r="G131" t="s">
        <v>9</v>
      </c>
      <c r="H131" t="s">
        <v>12</v>
      </c>
    </row>
    <row r="132" spans="1:8" x14ac:dyDescent="0.25">
      <c r="A132">
        <v>2025</v>
      </c>
      <c r="B132">
        <v>26</v>
      </c>
      <c r="C132" t="s">
        <v>16</v>
      </c>
      <c r="D132">
        <v>12</v>
      </c>
      <c r="E132">
        <v>1</v>
      </c>
      <c r="F132">
        <v>1</v>
      </c>
      <c r="G132" t="s">
        <v>9</v>
      </c>
      <c r="H132" t="s">
        <v>12</v>
      </c>
    </row>
    <row r="133" spans="1:8" x14ac:dyDescent="0.25">
      <c r="A133">
        <v>2025</v>
      </c>
      <c r="B133">
        <v>27</v>
      </c>
      <c r="C133" t="s">
        <v>16</v>
      </c>
      <c r="D133">
        <v>22</v>
      </c>
      <c r="E133">
        <v>6</v>
      </c>
      <c r="F133">
        <v>0.5</v>
      </c>
      <c r="G133" t="s">
        <v>9</v>
      </c>
      <c r="H133" t="s">
        <v>12</v>
      </c>
    </row>
    <row r="134" spans="1:8" x14ac:dyDescent="0.25">
      <c r="A134">
        <v>2025</v>
      </c>
      <c r="B134">
        <v>28</v>
      </c>
      <c r="C134" t="s">
        <v>16</v>
      </c>
      <c r="D134">
        <v>0</v>
      </c>
      <c r="E134">
        <v>0</v>
      </c>
      <c r="F134">
        <v>0</v>
      </c>
      <c r="G134" t="s">
        <v>9</v>
      </c>
      <c r="H134" t="s">
        <v>12</v>
      </c>
    </row>
    <row r="135" spans="1:8" x14ac:dyDescent="0.25">
      <c r="A135">
        <v>2025</v>
      </c>
      <c r="B135">
        <v>29</v>
      </c>
      <c r="C135" t="s">
        <v>16</v>
      </c>
      <c r="D135">
        <v>12</v>
      </c>
      <c r="E135">
        <v>1</v>
      </c>
      <c r="F135">
        <v>1</v>
      </c>
      <c r="G135" t="s">
        <v>9</v>
      </c>
      <c r="H135" t="s">
        <v>12</v>
      </c>
    </row>
    <row r="136" spans="1:8" x14ac:dyDescent="0.25">
      <c r="A136">
        <v>2025</v>
      </c>
      <c r="B136">
        <v>30</v>
      </c>
      <c r="C136" t="s">
        <v>16</v>
      </c>
      <c r="D136">
        <v>9</v>
      </c>
      <c r="E136">
        <v>2</v>
      </c>
      <c r="F136">
        <v>1</v>
      </c>
      <c r="G136" t="s">
        <v>11</v>
      </c>
      <c r="H136" t="s">
        <v>12</v>
      </c>
    </row>
    <row r="137" spans="1:8" x14ac:dyDescent="0.25">
      <c r="A137">
        <v>2025</v>
      </c>
      <c r="B137">
        <v>31</v>
      </c>
      <c r="C137" t="s">
        <v>16</v>
      </c>
      <c r="D137">
        <v>0</v>
      </c>
      <c r="E137">
        <v>0</v>
      </c>
      <c r="F137">
        <v>0</v>
      </c>
      <c r="G137" t="s">
        <v>11</v>
      </c>
      <c r="H137" t="s">
        <v>12</v>
      </c>
    </row>
    <row r="138" spans="1:8" x14ac:dyDescent="0.25">
      <c r="A138">
        <v>2025</v>
      </c>
      <c r="B138">
        <v>32</v>
      </c>
      <c r="C138" t="s">
        <v>16</v>
      </c>
      <c r="D138">
        <v>1</v>
      </c>
      <c r="E138">
        <v>1</v>
      </c>
      <c r="F138">
        <v>0</v>
      </c>
      <c r="G138" t="s">
        <v>9</v>
      </c>
      <c r="H138" t="s">
        <v>12</v>
      </c>
    </row>
    <row r="139" spans="1:8" x14ac:dyDescent="0.25">
      <c r="A139">
        <v>2025</v>
      </c>
      <c r="B139">
        <v>33</v>
      </c>
      <c r="C139" t="s">
        <v>16</v>
      </c>
      <c r="D139">
        <v>6</v>
      </c>
      <c r="E139">
        <v>3</v>
      </c>
      <c r="F139">
        <f>2/3</f>
        <v>0.66666666666666663</v>
      </c>
      <c r="G139" t="s">
        <v>9</v>
      </c>
      <c r="H139" t="s">
        <v>12</v>
      </c>
    </row>
    <row r="140" spans="1:8" x14ac:dyDescent="0.25">
      <c r="A140">
        <v>2025</v>
      </c>
      <c r="B140">
        <v>34</v>
      </c>
      <c r="C140" t="s">
        <v>16</v>
      </c>
      <c r="D140">
        <v>12</v>
      </c>
      <c r="E140">
        <v>2</v>
      </c>
      <c r="F140">
        <v>1</v>
      </c>
      <c r="G140" t="s">
        <v>9</v>
      </c>
      <c r="H140" t="s">
        <v>12</v>
      </c>
    </row>
    <row r="141" spans="1:8" x14ac:dyDescent="0.25">
      <c r="A141">
        <v>2025</v>
      </c>
      <c r="B141">
        <v>35</v>
      </c>
      <c r="C141" t="s">
        <v>16</v>
      </c>
      <c r="D141">
        <v>28</v>
      </c>
      <c r="E141">
        <v>4</v>
      </c>
      <c r="F141">
        <f>1/4</f>
        <v>0.25</v>
      </c>
      <c r="G141" t="s">
        <v>9</v>
      </c>
      <c r="H141" t="s">
        <v>12</v>
      </c>
    </row>
    <row r="142" spans="1:8" x14ac:dyDescent="0.25">
      <c r="A142">
        <v>2025</v>
      </c>
      <c r="B142">
        <v>36</v>
      </c>
      <c r="C142" t="s">
        <v>16</v>
      </c>
      <c r="D142">
        <v>1</v>
      </c>
      <c r="E142">
        <v>1</v>
      </c>
      <c r="F142">
        <v>1</v>
      </c>
      <c r="G142" t="s">
        <v>9</v>
      </c>
      <c r="H142" t="s">
        <v>12</v>
      </c>
    </row>
    <row r="143" spans="1:8" x14ac:dyDescent="0.25">
      <c r="A143">
        <v>2025</v>
      </c>
      <c r="B143">
        <v>37</v>
      </c>
      <c r="C143" t="s">
        <v>16</v>
      </c>
      <c r="D143">
        <v>9</v>
      </c>
      <c r="E143">
        <v>4</v>
      </c>
      <c r="F143">
        <f>3/4</f>
        <v>0.75</v>
      </c>
      <c r="G143" t="s">
        <v>9</v>
      </c>
      <c r="H143" t="s">
        <v>12</v>
      </c>
    </row>
    <row r="144" spans="1:8" x14ac:dyDescent="0.25">
      <c r="A144">
        <v>2025</v>
      </c>
      <c r="B144">
        <v>38</v>
      </c>
      <c r="C144" t="s">
        <v>16</v>
      </c>
      <c r="D144">
        <v>0</v>
      </c>
      <c r="E144">
        <v>0</v>
      </c>
      <c r="F144">
        <v>0</v>
      </c>
      <c r="G144" t="s">
        <v>9</v>
      </c>
      <c r="H144" t="s">
        <v>12</v>
      </c>
    </row>
    <row r="145" spans="1:8" x14ac:dyDescent="0.25">
      <c r="A145">
        <v>2025</v>
      </c>
      <c r="B145">
        <v>39</v>
      </c>
      <c r="C145" t="s">
        <v>16</v>
      </c>
      <c r="D145">
        <v>2</v>
      </c>
      <c r="E145">
        <v>1</v>
      </c>
      <c r="F145">
        <v>0</v>
      </c>
      <c r="G145" t="s">
        <v>9</v>
      </c>
      <c r="H145" t="s">
        <v>12</v>
      </c>
    </row>
    <row r="146" spans="1:8" x14ac:dyDescent="0.25">
      <c r="A146">
        <v>2025</v>
      </c>
      <c r="B146">
        <v>40</v>
      </c>
      <c r="C146" t="s">
        <v>16</v>
      </c>
      <c r="D146">
        <v>15</v>
      </c>
      <c r="E146">
        <v>3</v>
      </c>
      <c r="F146">
        <v>1</v>
      </c>
      <c r="G146" t="s">
        <v>9</v>
      </c>
      <c r="H146" t="s">
        <v>12</v>
      </c>
    </row>
    <row r="147" spans="1:8" x14ac:dyDescent="0.25">
      <c r="A147">
        <v>2025</v>
      </c>
      <c r="B147">
        <v>41</v>
      </c>
      <c r="C147" t="s">
        <v>16</v>
      </c>
      <c r="D147">
        <v>4</v>
      </c>
      <c r="E147">
        <v>1</v>
      </c>
      <c r="F147">
        <v>1</v>
      </c>
      <c r="G147" t="s">
        <v>9</v>
      </c>
      <c r="H147" t="s">
        <v>12</v>
      </c>
    </row>
    <row r="148" spans="1:8" x14ac:dyDescent="0.25">
      <c r="A148">
        <v>2025</v>
      </c>
      <c r="B148">
        <v>42</v>
      </c>
      <c r="C148" t="s">
        <v>16</v>
      </c>
      <c r="D148">
        <v>15</v>
      </c>
      <c r="E148">
        <v>2</v>
      </c>
      <c r="F148">
        <v>1</v>
      </c>
      <c r="G148" t="s">
        <v>9</v>
      </c>
      <c r="H148" t="s">
        <v>10</v>
      </c>
    </row>
    <row r="149" spans="1:8" x14ac:dyDescent="0.25">
      <c r="A149">
        <v>2025</v>
      </c>
      <c r="B149">
        <v>43</v>
      </c>
      <c r="C149" t="s">
        <v>16</v>
      </c>
      <c r="D149">
        <v>0</v>
      </c>
      <c r="E149">
        <v>0</v>
      </c>
      <c r="F149">
        <v>0</v>
      </c>
      <c r="G149" t="s">
        <v>9</v>
      </c>
      <c r="H149" t="s">
        <v>10</v>
      </c>
    </row>
    <row r="150" spans="1:8" x14ac:dyDescent="0.25">
      <c r="A150">
        <v>2025</v>
      </c>
      <c r="B150">
        <v>44</v>
      </c>
      <c r="C150" t="s">
        <v>16</v>
      </c>
      <c r="D150">
        <v>1</v>
      </c>
      <c r="E150">
        <v>1</v>
      </c>
      <c r="F150">
        <v>0</v>
      </c>
      <c r="G150" t="s">
        <v>9</v>
      </c>
      <c r="H150" t="s">
        <v>10</v>
      </c>
    </row>
    <row r="151" spans="1:8" x14ac:dyDescent="0.25">
      <c r="A151">
        <v>2025</v>
      </c>
      <c r="B151">
        <v>45</v>
      </c>
      <c r="C151" t="s">
        <v>16</v>
      </c>
      <c r="D151">
        <v>18</v>
      </c>
      <c r="E151">
        <v>2</v>
      </c>
      <c r="F151">
        <v>1</v>
      </c>
      <c r="G151" t="s">
        <v>9</v>
      </c>
      <c r="H151" t="s">
        <v>10</v>
      </c>
    </row>
    <row r="152" spans="1:8" x14ac:dyDescent="0.25">
      <c r="A152">
        <v>2025</v>
      </c>
      <c r="B152">
        <v>46</v>
      </c>
      <c r="C152" t="s">
        <v>16</v>
      </c>
      <c r="D152">
        <v>1</v>
      </c>
      <c r="E152">
        <v>1</v>
      </c>
      <c r="F152">
        <v>1</v>
      </c>
      <c r="G152" t="s">
        <v>9</v>
      </c>
      <c r="H152" t="s">
        <v>10</v>
      </c>
    </row>
    <row r="153" spans="1:8" x14ac:dyDescent="0.25">
      <c r="A153">
        <v>2025</v>
      </c>
      <c r="B153">
        <v>47</v>
      </c>
      <c r="C153" t="s">
        <v>16</v>
      </c>
      <c r="D153">
        <v>15</v>
      </c>
      <c r="E153">
        <v>2</v>
      </c>
      <c r="F153">
        <v>1</v>
      </c>
      <c r="G153" t="s">
        <v>9</v>
      </c>
      <c r="H153" t="s">
        <v>10</v>
      </c>
    </row>
    <row r="154" spans="1:8" x14ac:dyDescent="0.25">
      <c r="A154">
        <v>2025</v>
      </c>
      <c r="B154">
        <v>48</v>
      </c>
      <c r="C154" t="s">
        <v>16</v>
      </c>
      <c r="D154">
        <v>10</v>
      </c>
      <c r="E154">
        <v>2</v>
      </c>
      <c r="F154">
        <v>0.5</v>
      </c>
      <c r="G154" t="s">
        <v>9</v>
      </c>
      <c r="H154" t="s">
        <v>10</v>
      </c>
    </row>
    <row r="155" spans="1:8" x14ac:dyDescent="0.25">
      <c r="A155">
        <v>2025</v>
      </c>
      <c r="B155">
        <v>49</v>
      </c>
      <c r="C155" t="s">
        <v>16</v>
      </c>
      <c r="D155">
        <v>1</v>
      </c>
      <c r="E155">
        <v>1</v>
      </c>
      <c r="F155">
        <v>0</v>
      </c>
      <c r="G155" t="s">
        <v>9</v>
      </c>
      <c r="H155" t="s">
        <v>10</v>
      </c>
    </row>
    <row r="156" spans="1:8" x14ac:dyDescent="0.25">
      <c r="A156">
        <v>2025</v>
      </c>
      <c r="B156">
        <v>50</v>
      </c>
      <c r="C156" t="s">
        <v>16</v>
      </c>
      <c r="D156">
        <v>21</v>
      </c>
      <c r="E156">
        <v>2</v>
      </c>
      <c r="F156">
        <v>1</v>
      </c>
      <c r="G156" t="s">
        <v>11</v>
      </c>
      <c r="H156" t="s">
        <v>10</v>
      </c>
    </row>
    <row r="157" spans="1:8" x14ac:dyDescent="0.25">
      <c r="A157">
        <v>2025</v>
      </c>
      <c r="B157">
        <v>51</v>
      </c>
      <c r="C157" t="s">
        <v>16</v>
      </c>
      <c r="D157">
        <v>14</v>
      </c>
      <c r="E157">
        <v>2</v>
      </c>
      <c r="F157">
        <v>0.5</v>
      </c>
      <c r="G157" t="s">
        <v>11</v>
      </c>
      <c r="H157" t="s">
        <v>10</v>
      </c>
    </row>
    <row r="158" spans="1:8" x14ac:dyDescent="0.25">
      <c r="A158">
        <v>2025</v>
      </c>
      <c r="B158">
        <v>52</v>
      </c>
      <c r="C158" t="s">
        <v>16</v>
      </c>
      <c r="D158">
        <v>0</v>
      </c>
      <c r="E158">
        <v>0</v>
      </c>
      <c r="F158">
        <v>0</v>
      </c>
      <c r="G158" t="s">
        <v>11</v>
      </c>
      <c r="H158" t="s">
        <v>10</v>
      </c>
    </row>
    <row r="159" spans="1:8" x14ac:dyDescent="0.25">
      <c r="A159">
        <v>2025</v>
      </c>
      <c r="B159">
        <v>53</v>
      </c>
      <c r="C159" t="s">
        <v>16</v>
      </c>
      <c r="D159">
        <v>7</v>
      </c>
      <c r="E159">
        <v>2</v>
      </c>
      <c r="F159">
        <v>1</v>
      </c>
      <c r="G159" t="s">
        <v>11</v>
      </c>
      <c r="H159" t="s">
        <v>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F5FC0-61E6-41CC-9425-3A61B5799F0E}">
  <dimension ref="A1:H159"/>
  <sheetViews>
    <sheetView workbookViewId="0">
      <selection activeCell="A27" sqref="A27"/>
    </sheetView>
  </sheetViews>
  <sheetFormatPr baseColWidth="10"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2023</v>
      </c>
      <c r="B2">
        <v>1</v>
      </c>
      <c r="C2" t="s">
        <v>17</v>
      </c>
      <c r="D2">
        <v>0</v>
      </c>
      <c r="E2">
        <v>0</v>
      </c>
      <c r="F2">
        <v>0</v>
      </c>
      <c r="G2" t="s">
        <v>9</v>
      </c>
      <c r="H2" t="s">
        <v>10</v>
      </c>
    </row>
    <row r="3" spans="1:8" x14ac:dyDescent="0.25">
      <c r="A3">
        <v>2023</v>
      </c>
      <c r="B3">
        <v>2</v>
      </c>
      <c r="C3" t="s">
        <v>17</v>
      </c>
      <c r="D3">
        <v>2</v>
      </c>
      <c r="E3">
        <v>1</v>
      </c>
      <c r="F3">
        <v>1</v>
      </c>
      <c r="G3" t="s">
        <v>9</v>
      </c>
      <c r="H3" t="s">
        <v>10</v>
      </c>
    </row>
    <row r="4" spans="1:8" x14ac:dyDescent="0.25">
      <c r="A4">
        <v>2023</v>
      </c>
      <c r="B4">
        <v>3</v>
      </c>
      <c r="C4" t="s">
        <v>17</v>
      </c>
      <c r="D4">
        <v>0</v>
      </c>
      <c r="E4">
        <v>0</v>
      </c>
      <c r="F4">
        <v>0</v>
      </c>
      <c r="G4" t="s">
        <v>9</v>
      </c>
      <c r="H4" t="s">
        <v>10</v>
      </c>
    </row>
    <row r="5" spans="1:8" x14ac:dyDescent="0.25">
      <c r="A5">
        <v>2023</v>
      </c>
      <c r="B5">
        <v>4</v>
      </c>
      <c r="C5" t="s">
        <v>17</v>
      </c>
      <c r="D5">
        <v>0</v>
      </c>
      <c r="E5">
        <v>0</v>
      </c>
      <c r="F5">
        <v>0</v>
      </c>
      <c r="G5" t="s">
        <v>9</v>
      </c>
      <c r="H5" t="s">
        <v>10</v>
      </c>
    </row>
    <row r="6" spans="1:8" x14ac:dyDescent="0.25">
      <c r="A6">
        <v>2023</v>
      </c>
      <c r="B6">
        <v>5</v>
      </c>
      <c r="C6" t="s">
        <v>17</v>
      </c>
      <c r="D6">
        <v>4</v>
      </c>
      <c r="E6">
        <v>3</v>
      </c>
      <c r="F6">
        <v>1</v>
      </c>
      <c r="G6" t="s">
        <v>11</v>
      </c>
      <c r="H6" t="s">
        <v>10</v>
      </c>
    </row>
    <row r="7" spans="1:8" x14ac:dyDescent="0.25">
      <c r="A7">
        <v>2023</v>
      </c>
      <c r="B7">
        <v>6</v>
      </c>
      <c r="C7" t="s">
        <v>17</v>
      </c>
      <c r="D7">
        <v>5</v>
      </c>
      <c r="E7">
        <v>3</v>
      </c>
      <c r="F7">
        <f>2/3</f>
        <v>0.66666666666666663</v>
      </c>
      <c r="G7" t="s">
        <v>11</v>
      </c>
      <c r="H7" t="s">
        <v>10</v>
      </c>
    </row>
    <row r="8" spans="1:8" x14ac:dyDescent="0.25">
      <c r="A8">
        <v>2023</v>
      </c>
      <c r="B8">
        <v>7</v>
      </c>
      <c r="C8" t="s">
        <v>17</v>
      </c>
      <c r="D8">
        <v>0</v>
      </c>
      <c r="E8">
        <v>0</v>
      </c>
      <c r="F8">
        <v>0</v>
      </c>
      <c r="G8" t="s">
        <v>11</v>
      </c>
      <c r="H8" t="s">
        <v>10</v>
      </c>
    </row>
    <row r="9" spans="1:8" x14ac:dyDescent="0.25">
      <c r="A9">
        <v>2023</v>
      </c>
      <c r="B9">
        <v>8</v>
      </c>
      <c r="C9" t="s">
        <v>17</v>
      </c>
      <c r="D9">
        <v>0</v>
      </c>
      <c r="E9">
        <v>0</v>
      </c>
      <c r="F9">
        <v>0</v>
      </c>
      <c r="G9" t="s">
        <v>11</v>
      </c>
      <c r="H9" t="s">
        <v>10</v>
      </c>
    </row>
    <row r="10" spans="1:8" x14ac:dyDescent="0.25">
      <c r="A10">
        <v>2023</v>
      </c>
      <c r="B10">
        <v>9</v>
      </c>
      <c r="C10" t="s">
        <v>17</v>
      </c>
      <c r="D10">
        <v>0</v>
      </c>
      <c r="E10">
        <v>0</v>
      </c>
      <c r="F10">
        <v>0</v>
      </c>
      <c r="G10" t="s">
        <v>9</v>
      </c>
      <c r="H10" t="s">
        <v>10</v>
      </c>
    </row>
    <row r="11" spans="1:8" x14ac:dyDescent="0.25">
      <c r="A11">
        <v>2023</v>
      </c>
      <c r="B11">
        <v>10</v>
      </c>
      <c r="C11" t="s">
        <v>17</v>
      </c>
      <c r="D11">
        <v>4</v>
      </c>
      <c r="E11">
        <v>2</v>
      </c>
      <c r="F11">
        <v>0.5</v>
      </c>
      <c r="G11" t="s">
        <v>9</v>
      </c>
      <c r="H11" t="s">
        <v>10</v>
      </c>
    </row>
    <row r="12" spans="1:8" x14ac:dyDescent="0.25">
      <c r="A12">
        <v>2023</v>
      </c>
      <c r="B12">
        <v>11</v>
      </c>
      <c r="C12" t="s">
        <v>17</v>
      </c>
      <c r="D12">
        <v>1</v>
      </c>
      <c r="E12">
        <v>1</v>
      </c>
      <c r="F12">
        <v>1</v>
      </c>
      <c r="G12" t="s">
        <v>9</v>
      </c>
      <c r="H12" t="s">
        <v>10</v>
      </c>
    </row>
    <row r="13" spans="1:8" x14ac:dyDescent="0.25">
      <c r="A13">
        <v>2023</v>
      </c>
      <c r="B13">
        <v>12</v>
      </c>
      <c r="C13" t="s">
        <v>17</v>
      </c>
      <c r="D13">
        <v>1</v>
      </c>
      <c r="E13">
        <v>1</v>
      </c>
      <c r="F13">
        <v>1</v>
      </c>
      <c r="G13" t="s">
        <v>9</v>
      </c>
      <c r="H13" t="s">
        <v>10</v>
      </c>
    </row>
    <row r="14" spans="1:8" x14ac:dyDescent="0.25">
      <c r="A14">
        <v>2023</v>
      </c>
      <c r="B14">
        <v>13</v>
      </c>
      <c r="C14" t="s">
        <v>17</v>
      </c>
      <c r="D14">
        <v>1</v>
      </c>
      <c r="E14">
        <v>1</v>
      </c>
      <c r="F14">
        <v>1</v>
      </c>
      <c r="G14" t="s">
        <v>9</v>
      </c>
      <c r="H14" t="s">
        <v>10</v>
      </c>
    </row>
    <row r="15" spans="1:8" x14ac:dyDescent="0.25">
      <c r="A15">
        <v>2023</v>
      </c>
      <c r="B15">
        <v>14</v>
      </c>
      <c r="C15" t="s">
        <v>17</v>
      </c>
      <c r="D15">
        <v>3</v>
      </c>
      <c r="E15">
        <v>3</v>
      </c>
      <c r="F15">
        <v>1</v>
      </c>
      <c r="G15" t="s">
        <v>11</v>
      </c>
      <c r="H15" t="s">
        <v>12</v>
      </c>
    </row>
    <row r="16" spans="1:8" x14ac:dyDescent="0.25">
      <c r="A16">
        <v>2023</v>
      </c>
      <c r="B16">
        <v>15</v>
      </c>
      <c r="C16" t="s">
        <v>17</v>
      </c>
      <c r="D16">
        <v>2</v>
      </c>
      <c r="E16">
        <v>2</v>
      </c>
      <c r="F16">
        <v>0</v>
      </c>
      <c r="G16" t="s">
        <v>9</v>
      </c>
      <c r="H16" t="s">
        <v>12</v>
      </c>
    </row>
    <row r="17" spans="1:8" x14ac:dyDescent="0.25">
      <c r="A17">
        <v>2023</v>
      </c>
      <c r="B17">
        <v>16</v>
      </c>
      <c r="C17" t="s">
        <v>17</v>
      </c>
      <c r="D17">
        <v>9</v>
      </c>
      <c r="E17">
        <v>4</v>
      </c>
      <c r="F17">
        <v>0.25</v>
      </c>
      <c r="G17" t="s">
        <v>9</v>
      </c>
      <c r="H17" t="s">
        <v>12</v>
      </c>
    </row>
    <row r="18" spans="1:8" x14ac:dyDescent="0.25">
      <c r="A18">
        <v>2023</v>
      </c>
      <c r="B18">
        <v>17</v>
      </c>
      <c r="C18" t="s">
        <v>17</v>
      </c>
      <c r="D18">
        <v>7</v>
      </c>
      <c r="E18">
        <v>2</v>
      </c>
      <c r="F18">
        <v>0.5</v>
      </c>
      <c r="G18" t="s">
        <v>9</v>
      </c>
      <c r="H18" t="s">
        <v>12</v>
      </c>
    </row>
    <row r="19" spans="1:8" x14ac:dyDescent="0.25">
      <c r="A19">
        <v>2023</v>
      </c>
      <c r="B19">
        <v>18</v>
      </c>
      <c r="C19" t="s">
        <v>17</v>
      </c>
      <c r="D19">
        <v>0</v>
      </c>
      <c r="E19">
        <v>0</v>
      </c>
      <c r="F19">
        <v>0</v>
      </c>
      <c r="G19" t="s">
        <v>9</v>
      </c>
      <c r="H19" t="s">
        <v>12</v>
      </c>
    </row>
    <row r="20" spans="1:8" x14ac:dyDescent="0.25">
      <c r="A20">
        <v>2023</v>
      </c>
      <c r="B20">
        <v>19</v>
      </c>
      <c r="C20" t="s">
        <v>17</v>
      </c>
      <c r="D20">
        <v>9</v>
      </c>
      <c r="E20">
        <v>5</v>
      </c>
      <c r="F20">
        <v>1</v>
      </c>
      <c r="G20" t="s">
        <v>11</v>
      </c>
      <c r="H20" t="s">
        <v>12</v>
      </c>
    </row>
    <row r="21" spans="1:8" x14ac:dyDescent="0.25">
      <c r="A21">
        <v>2023</v>
      </c>
      <c r="B21">
        <v>20</v>
      </c>
      <c r="C21" t="s">
        <v>17</v>
      </c>
      <c r="D21">
        <v>2</v>
      </c>
      <c r="E21">
        <v>2</v>
      </c>
      <c r="F21">
        <v>1</v>
      </c>
      <c r="G21" t="s">
        <v>9</v>
      </c>
      <c r="H21" t="s">
        <v>12</v>
      </c>
    </row>
    <row r="22" spans="1:8" x14ac:dyDescent="0.25">
      <c r="A22">
        <v>2023</v>
      </c>
      <c r="B22">
        <v>21</v>
      </c>
      <c r="C22" t="s">
        <v>17</v>
      </c>
      <c r="D22">
        <v>6</v>
      </c>
      <c r="E22">
        <v>1</v>
      </c>
      <c r="F22">
        <v>1</v>
      </c>
      <c r="G22" t="s">
        <v>9</v>
      </c>
      <c r="H22" t="s">
        <v>12</v>
      </c>
    </row>
    <row r="23" spans="1:8" x14ac:dyDescent="0.25">
      <c r="A23">
        <v>2023</v>
      </c>
      <c r="B23">
        <v>22</v>
      </c>
      <c r="C23" t="s">
        <v>17</v>
      </c>
      <c r="D23">
        <v>6</v>
      </c>
      <c r="E23">
        <v>3</v>
      </c>
      <c r="F23">
        <v>1</v>
      </c>
      <c r="G23" t="s">
        <v>9</v>
      </c>
      <c r="H23" t="s">
        <v>12</v>
      </c>
    </row>
    <row r="24" spans="1:8" x14ac:dyDescent="0.25">
      <c r="A24">
        <v>2023</v>
      </c>
      <c r="B24">
        <v>23</v>
      </c>
      <c r="C24" t="s">
        <v>17</v>
      </c>
      <c r="D24">
        <v>6</v>
      </c>
      <c r="E24">
        <v>3</v>
      </c>
      <c r="F24">
        <v>1</v>
      </c>
      <c r="G24" t="s">
        <v>9</v>
      </c>
      <c r="H24" t="s">
        <v>12</v>
      </c>
    </row>
    <row r="25" spans="1:8" x14ac:dyDescent="0.25">
      <c r="A25">
        <v>2023</v>
      </c>
      <c r="B25">
        <v>24</v>
      </c>
      <c r="C25" t="s">
        <v>17</v>
      </c>
      <c r="D25">
        <v>4</v>
      </c>
      <c r="E25">
        <v>1</v>
      </c>
      <c r="F25">
        <v>1</v>
      </c>
      <c r="G25" t="s">
        <v>11</v>
      </c>
      <c r="H25" t="s">
        <v>12</v>
      </c>
    </row>
    <row r="26" spans="1:8" x14ac:dyDescent="0.25">
      <c r="A26">
        <v>2023</v>
      </c>
      <c r="B26">
        <v>25</v>
      </c>
      <c r="C26" t="s">
        <v>17</v>
      </c>
      <c r="D26">
        <v>9</v>
      </c>
      <c r="E26">
        <v>1</v>
      </c>
      <c r="F26">
        <v>1</v>
      </c>
      <c r="G26" t="s">
        <v>9</v>
      </c>
      <c r="H26" t="s">
        <v>12</v>
      </c>
    </row>
    <row r="27" spans="1:8" x14ac:dyDescent="0.25">
      <c r="A27">
        <v>2023</v>
      </c>
      <c r="B27">
        <v>26</v>
      </c>
      <c r="C27" t="s">
        <v>17</v>
      </c>
      <c r="D27">
        <v>2</v>
      </c>
      <c r="E27">
        <v>2</v>
      </c>
      <c r="F27">
        <v>1</v>
      </c>
      <c r="G27" t="s">
        <v>9</v>
      </c>
      <c r="H27" t="s">
        <v>12</v>
      </c>
    </row>
    <row r="28" spans="1:8" x14ac:dyDescent="0.25">
      <c r="A28">
        <v>2023</v>
      </c>
      <c r="B28">
        <v>27</v>
      </c>
      <c r="C28" t="s">
        <v>17</v>
      </c>
      <c r="D28">
        <v>9</v>
      </c>
      <c r="E28">
        <v>1</v>
      </c>
      <c r="F28">
        <v>1</v>
      </c>
      <c r="G28" t="s">
        <v>9</v>
      </c>
      <c r="H28" t="s">
        <v>12</v>
      </c>
    </row>
    <row r="29" spans="1:8" x14ac:dyDescent="0.25">
      <c r="A29">
        <v>2023</v>
      </c>
      <c r="B29">
        <v>28</v>
      </c>
      <c r="C29" t="s">
        <v>17</v>
      </c>
      <c r="D29">
        <v>8</v>
      </c>
      <c r="E29">
        <v>2</v>
      </c>
      <c r="F29">
        <v>1</v>
      </c>
      <c r="G29" t="s">
        <v>9</v>
      </c>
      <c r="H29" t="s">
        <v>12</v>
      </c>
    </row>
    <row r="30" spans="1:8" x14ac:dyDescent="0.25">
      <c r="A30">
        <v>2023</v>
      </c>
      <c r="B30">
        <v>29</v>
      </c>
      <c r="C30" t="s">
        <v>17</v>
      </c>
      <c r="D30">
        <v>9</v>
      </c>
      <c r="E30">
        <v>3</v>
      </c>
      <c r="F30">
        <f>2/3</f>
        <v>0.66666666666666663</v>
      </c>
      <c r="G30" t="s">
        <v>11</v>
      </c>
      <c r="H30" t="s">
        <v>12</v>
      </c>
    </row>
    <row r="31" spans="1:8" x14ac:dyDescent="0.25">
      <c r="A31">
        <v>2023</v>
      </c>
      <c r="B31">
        <v>30</v>
      </c>
      <c r="C31" t="s">
        <v>17</v>
      </c>
      <c r="D31">
        <v>15</v>
      </c>
      <c r="E31">
        <v>7</v>
      </c>
      <c r="F31">
        <v>1</v>
      </c>
      <c r="G31" t="s">
        <v>11</v>
      </c>
      <c r="H31" t="s">
        <v>12</v>
      </c>
    </row>
    <row r="32" spans="1:8" x14ac:dyDescent="0.25">
      <c r="A32">
        <v>2023</v>
      </c>
      <c r="B32">
        <v>31</v>
      </c>
      <c r="C32" t="s">
        <v>17</v>
      </c>
      <c r="D32">
        <v>2</v>
      </c>
      <c r="E32">
        <v>1</v>
      </c>
      <c r="F32">
        <v>1</v>
      </c>
      <c r="G32" t="s">
        <v>11</v>
      </c>
      <c r="H32" t="s">
        <v>12</v>
      </c>
    </row>
    <row r="33" spans="1:8" x14ac:dyDescent="0.25">
      <c r="A33">
        <v>2023</v>
      </c>
      <c r="B33">
        <v>32</v>
      </c>
      <c r="C33" t="s">
        <v>17</v>
      </c>
      <c r="D33">
        <v>12</v>
      </c>
      <c r="E33">
        <v>1</v>
      </c>
      <c r="F33">
        <v>1</v>
      </c>
      <c r="G33" t="s">
        <v>9</v>
      </c>
      <c r="H33" t="s">
        <v>12</v>
      </c>
    </row>
    <row r="34" spans="1:8" x14ac:dyDescent="0.25">
      <c r="A34">
        <v>2023</v>
      </c>
      <c r="B34">
        <v>33</v>
      </c>
      <c r="C34" t="s">
        <v>17</v>
      </c>
      <c r="D34">
        <v>6</v>
      </c>
      <c r="E34">
        <v>1</v>
      </c>
      <c r="F34">
        <v>1</v>
      </c>
      <c r="G34" t="s">
        <v>9</v>
      </c>
      <c r="H34" t="s">
        <v>12</v>
      </c>
    </row>
    <row r="35" spans="1:8" x14ac:dyDescent="0.25">
      <c r="A35">
        <v>2023</v>
      </c>
      <c r="B35">
        <v>34</v>
      </c>
      <c r="C35" t="s">
        <v>17</v>
      </c>
      <c r="D35">
        <v>0</v>
      </c>
      <c r="E35">
        <v>0</v>
      </c>
      <c r="F35">
        <v>0</v>
      </c>
      <c r="G35" t="s">
        <v>9</v>
      </c>
      <c r="H35" t="s">
        <v>12</v>
      </c>
    </row>
    <row r="36" spans="1:8" x14ac:dyDescent="0.25">
      <c r="A36">
        <v>2023</v>
      </c>
      <c r="B36">
        <v>35</v>
      </c>
      <c r="C36" t="s">
        <v>17</v>
      </c>
      <c r="D36">
        <v>0</v>
      </c>
      <c r="E36">
        <v>0</v>
      </c>
      <c r="F36">
        <v>0</v>
      </c>
      <c r="G36" t="s">
        <v>9</v>
      </c>
      <c r="H36" t="s">
        <v>12</v>
      </c>
    </row>
    <row r="37" spans="1:8" x14ac:dyDescent="0.25">
      <c r="A37">
        <v>2023</v>
      </c>
      <c r="B37">
        <v>36</v>
      </c>
      <c r="C37" t="s">
        <v>17</v>
      </c>
      <c r="D37">
        <v>0</v>
      </c>
      <c r="E37">
        <v>0</v>
      </c>
      <c r="F37">
        <v>0</v>
      </c>
      <c r="G37" t="s">
        <v>9</v>
      </c>
      <c r="H37" t="s">
        <v>12</v>
      </c>
    </row>
    <row r="38" spans="1:8" x14ac:dyDescent="0.25">
      <c r="A38">
        <v>2023</v>
      </c>
      <c r="B38">
        <v>37</v>
      </c>
      <c r="C38" t="s">
        <v>17</v>
      </c>
      <c r="D38">
        <v>12</v>
      </c>
      <c r="E38">
        <v>1</v>
      </c>
      <c r="F38">
        <v>1</v>
      </c>
      <c r="G38" t="s">
        <v>9</v>
      </c>
      <c r="H38" t="s">
        <v>12</v>
      </c>
    </row>
    <row r="39" spans="1:8" x14ac:dyDescent="0.25">
      <c r="A39">
        <v>2023</v>
      </c>
      <c r="B39">
        <v>38</v>
      </c>
      <c r="C39" t="s">
        <v>17</v>
      </c>
      <c r="D39">
        <v>3</v>
      </c>
      <c r="E39">
        <v>1</v>
      </c>
      <c r="F39">
        <v>1</v>
      </c>
      <c r="G39" t="s">
        <v>9</v>
      </c>
      <c r="H39" t="s">
        <v>12</v>
      </c>
    </row>
    <row r="40" spans="1:8" x14ac:dyDescent="0.25">
      <c r="A40">
        <v>2023</v>
      </c>
      <c r="B40">
        <v>39</v>
      </c>
      <c r="C40" t="s">
        <v>17</v>
      </c>
      <c r="D40">
        <v>6</v>
      </c>
      <c r="E40">
        <v>1</v>
      </c>
      <c r="F40">
        <v>1</v>
      </c>
      <c r="G40" t="s">
        <v>9</v>
      </c>
      <c r="H40" t="s">
        <v>12</v>
      </c>
    </row>
    <row r="41" spans="1:8" x14ac:dyDescent="0.25">
      <c r="A41">
        <v>2023</v>
      </c>
      <c r="B41">
        <v>40</v>
      </c>
      <c r="C41" t="s">
        <v>17</v>
      </c>
      <c r="D41">
        <v>6</v>
      </c>
      <c r="E41">
        <v>1</v>
      </c>
      <c r="F41">
        <v>1</v>
      </c>
      <c r="G41" t="s">
        <v>9</v>
      </c>
      <c r="H41" t="s">
        <v>12</v>
      </c>
    </row>
    <row r="42" spans="1:8" x14ac:dyDescent="0.25">
      <c r="A42">
        <v>2023</v>
      </c>
      <c r="B42">
        <v>41</v>
      </c>
      <c r="C42" t="s">
        <v>17</v>
      </c>
      <c r="D42">
        <v>5</v>
      </c>
      <c r="E42">
        <v>3</v>
      </c>
      <c r="F42">
        <v>1</v>
      </c>
      <c r="G42" t="s">
        <v>9</v>
      </c>
      <c r="H42" t="s">
        <v>12</v>
      </c>
    </row>
    <row r="43" spans="1:8" x14ac:dyDescent="0.25">
      <c r="A43">
        <v>2023</v>
      </c>
      <c r="B43">
        <v>42</v>
      </c>
      <c r="C43" t="s">
        <v>17</v>
      </c>
      <c r="D43">
        <v>3</v>
      </c>
      <c r="E43">
        <v>2</v>
      </c>
      <c r="F43">
        <v>1</v>
      </c>
      <c r="G43" t="s">
        <v>9</v>
      </c>
      <c r="H43" t="s">
        <v>12</v>
      </c>
    </row>
    <row r="44" spans="1:8" x14ac:dyDescent="0.25">
      <c r="A44">
        <v>2023</v>
      </c>
      <c r="B44">
        <v>43</v>
      </c>
      <c r="C44" t="s">
        <v>17</v>
      </c>
      <c r="D44">
        <v>0</v>
      </c>
      <c r="E44">
        <v>0</v>
      </c>
      <c r="F44">
        <v>0</v>
      </c>
      <c r="G44" t="s">
        <v>9</v>
      </c>
      <c r="H44" t="s">
        <v>12</v>
      </c>
    </row>
    <row r="45" spans="1:8" x14ac:dyDescent="0.25">
      <c r="A45">
        <v>2023</v>
      </c>
      <c r="B45">
        <v>44</v>
      </c>
      <c r="C45" t="s">
        <v>17</v>
      </c>
      <c r="D45">
        <v>3</v>
      </c>
      <c r="E45">
        <v>1</v>
      </c>
      <c r="F45">
        <v>1</v>
      </c>
      <c r="G45" t="s">
        <v>9</v>
      </c>
      <c r="H45" t="s">
        <v>12</v>
      </c>
    </row>
    <row r="46" spans="1:8" x14ac:dyDescent="0.25">
      <c r="A46">
        <v>2023</v>
      </c>
      <c r="B46">
        <v>45</v>
      </c>
      <c r="C46" t="s">
        <v>17</v>
      </c>
      <c r="D46">
        <v>6</v>
      </c>
      <c r="E46">
        <v>1</v>
      </c>
      <c r="F46">
        <v>0</v>
      </c>
      <c r="G46" t="s">
        <v>9</v>
      </c>
      <c r="H46" t="s">
        <v>10</v>
      </c>
    </row>
    <row r="47" spans="1:8" x14ac:dyDescent="0.25">
      <c r="A47">
        <v>2023</v>
      </c>
      <c r="B47">
        <v>46</v>
      </c>
      <c r="C47" t="s">
        <v>17</v>
      </c>
      <c r="D47">
        <v>1</v>
      </c>
      <c r="E47">
        <v>1</v>
      </c>
      <c r="F47">
        <v>1</v>
      </c>
      <c r="G47" t="s">
        <v>9</v>
      </c>
      <c r="H47" t="s">
        <v>10</v>
      </c>
    </row>
    <row r="48" spans="1:8" x14ac:dyDescent="0.25">
      <c r="A48">
        <v>2023</v>
      </c>
      <c r="B48">
        <v>47</v>
      </c>
      <c r="C48" t="s">
        <v>17</v>
      </c>
      <c r="D48">
        <v>4</v>
      </c>
      <c r="E48">
        <v>2</v>
      </c>
      <c r="F48">
        <v>0.5</v>
      </c>
      <c r="G48" t="s">
        <v>9</v>
      </c>
      <c r="H48" t="s">
        <v>10</v>
      </c>
    </row>
    <row r="49" spans="1:8" x14ac:dyDescent="0.25">
      <c r="A49">
        <v>2023</v>
      </c>
      <c r="B49">
        <v>48</v>
      </c>
      <c r="C49" t="s">
        <v>17</v>
      </c>
      <c r="D49">
        <v>5</v>
      </c>
      <c r="E49">
        <v>2</v>
      </c>
      <c r="F49">
        <v>1</v>
      </c>
      <c r="G49" t="s">
        <v>9</v>
      </c>
      <c r="H49" t="s">
        <v>10</v>
      </c>
    </row>
    <row r="50" spans="1:8" x14ac:dyDescent="0.25">
      <c r="A50">
        <v>2023</v>
      </c>
      <c r="B50">
        <v>49</v>
      </c>
      <c r="C50" t="s">
        <v>17</v>
      </c>
      <c r="D50">
        <v>12</v>
      </c>
      <c r="E50">
        <v>1</v>
      </c>
      <c r="F50">
        <v>1</v>
      </c>
      <c r="G50" t="s">
        <v>9</v>
      </c>
      <c r="H50" t="s">
        <v>10</v>
      </c>
    </row>
    <row r="51" spans="1:8" x14ac:dyDescent="0.25">
      <c r="A51">
        <v>2023</v>
      </c>
      <c r="B51">
        <v>50</v>
      </c>
      <c r="C51" t="s">
        <v>17</v>
      </c>
      <c r="D51">
        <v>2</v>
      </c>
      <c r="E51">
        <v>1</v>
      </c>
      <c r="F51">
        <v>1</v>
      </c>
      <c r="G51" t="s">
        <v>11</v>
      </c>
      <c r="H51" t="s">
        <v>10</v>
      </c>
    </row>
    <row r="52" spans="1:8" x14ac:dyDescent="0.25">
      <c r="A52">
        <v>2023</v>
      </c>
      <c r="B52">
        <v>51</v>
      </c>
      <c r="C52" t="s">
        <v>17</v>
      </c>
      <c r="D52">
        <v>2</v>
      </c>
      <c r="E52">
        <v>1</v>
      </c>
      <c r="F52">
        <v>0</v>
      </c>
      <c r="G52" t="s">
        <v>11</v>
      </c>
      <c r="H52" t="s">
        <v>10</v>
      </c>
    </row>
    <row r="53" spans="1:8" x14ac:dyDescent="0.25">
      <c r="A53">
        <v>2023</v>
      </c>
      <c r="B53">
        <v>52</v>
      </c>
      <c r="C53" t="s">
        <v>17</v>
      </c>
      <c r="D53">
        <v>1</v>
      </c>
      <c r="E53">
        <v>1</v>
      </c>
      <c r="F53">
        <v>1</v>
      </c>
      <c r="G53" t="s">
        <v>11</v>
      </c>
      <c r="H53" t="s">
        <v>10</v>
      </c>
    </row>
    <row r="54" spans="1:8" x14ac:dyDescent="0.25">
      <c r="A54">
        <v>2024</v>
      </c>
      <c r="B54">
        <v>1</v>
      </c>
      <c r="C54" t="s">
        <v>17</v>
      </c>
      <c r="D54">
        <v>1</v>
      </c>
      <c r="E54">
        <v>1</v>
      </c>
      <c r="F54">
        <v>1</v>
      </c>
      <c r="G54" t="s">
        <v>9</v>
      </c>
      <c r="H54" t="s">
        <v>10</v>
      </c>
    </row>
    <row r="55" spans="1:8" x14ac:dyDescent="0.25">
      <c r="A55">
        <v>2024</v>
      </c>
      <c r="B55">
        <v>2</v>
      </c>
      <c r="C55" t="s">
        <v>17</v>
      </c>
      <c r="D55">
        <v>1</v>
      </c>
      <c r="E55">
        <v>1</v>
      </c>
      <c r="F55">
        <v>1</v>
      </c>
      <c r="G55" t="s">
        <v>9</v>
      </c>
      <c r="H55" t="s">
        <v>10</v>
      </c>
    </row>
    <row r="56" spans="1:8" x14ac:dyDescent="0.25">
      <c r="A56">
        <v>2024</v>
      </c>
      <c r="B56">
        <v>3</v>
      </c>
      <c r="C56" t="s">
        <v>17</v>
      </c>
      <c r="D56">
        <v>0</v>
      </c>
      <c r="E56">
        <v>0</v>
      </c>
      <c r="F56">
        <v>0</v>
      </c>
      <c r="G56" t="s">
        <v>9</v>
      </c>
      <c r="H56" t="s">
        <v>10</v>
      </c>
    </row>
    <row r="57" spans="1:8" x14ac:dyDescent="0.25">
      <c r="A57">
        <v>2024</v>
      </c>
      <c r="B57">
        <v>4</v>
      </c>
      <c r="C57" t="s">
        <v>17</v>
      </c>
      <c r="D57">
        <v>1</v>
      </c>
      <c r="E57">
        <v>1</v>
      </c>
      <c r="F57">
        <v>1</v>
      </c>
      <c r="G57" t="s">
        <v>9</v>
      </c>
      <c r="H57" t="s">
        <v>10</v>
      </c>
    </row>
    <row r="58" spans="1:8" x14ac:dyDescent="0.25">
      <c r="A58">
        <v>2024</v>
      </c>
      <c r="B58">
        <v>5</v>
      </c>
      <c r="C58" t="s">
        <v>17</v>
      </c>
      <c r="D58">
        <v>7</v>
      </c>
      <c r="E58">
        <v>5</v>
      </c>
      <c r="F58">
        <f>4/5</f>
        <v>0.8</v>
      </c>
      <c r="G58" t="s">
        <v>9</v>
      </c>
      <c r="H58" t="s">
        <v>10</v>
      </c>
    </row>
    <row r="59" spans="1:8" x14ac:dyDescent="0.25">
      <c r="A59">
        <v>2024</v>
      </c>
      <c r="B59">
        <v>6</v>
      </c>
      <c r="C59" t="s">
        <v>17</v>
      </c>
      <c r="D59">
        <v>1</v>
      </c>
      <c r="E59">
        <v>1</v>
      </c>
      <c r="F59">
        <v>1</v>
      </c>
      <c r="G59" t="s">
        <v>9</v>
      </c>
      <c r="H59" t="s">
        <v>10</v>
      </c>
    </row>
    <row r="60" spans="1:8" x14ac:dyDescent="0.25">
      <c r="A60">
        <v>2024</v>
      </c>
      <c r="B60">
        <v>7</v>
      </c>
      <c r="C60" t="s">
        <v>17</v>
      </c>
      <c r="D60">
        <v>10</v>
      </c>
      <c r="E60">
        <v>5</v>
      </c>
      <c r="F60">
        <v>1</v>
      </c>
      <c r="G60" t="s">
        <v>11</v>
      </c>
      <c r="H60" t="s">
        <v>10</v>
      </c>
    </row>
    <row r="61" spans="1:8" x14ac:dyDescent="0.25">
      <c r="A61">
        <v>2024</v>
      </c>
      <c r="B61">
        <v>8</v>
      </c>
      <c r="C61" t="s">
        <v>17</v>
      </c>
      <c r="D61">
        <v>1</v>
      </c>
      <c r="E61">
        <v>1</v>
      </c>
      <c r="F61">
        <v>1</v>
      </c>
      <c r="G61" t="s">
        <v>9</v>
      </c>
      <c r="H61" t="s">
        <v>10</v>
      </c>
    </row>
    <row r="62" spans="1:8" x14ac:dyDescent="0.25">
      <c r="A62">
        <v>2024</v>
      </c>
      <c r="B62">
        <v>9</v>
      </c>
      <c r="C62" t="s">
        <v>17</v>
      </c>
      <c r="D62">
        <v>2</v>
      </c>
      <c r="E62">
        <v>2</v>
      </c>
      <c r="F62">
        <v>1</v>
      </c>
      <c r="G62" t="s">
        <v>9</v>
      </c>
      <c r="H62" t="s">
        <v>10</v>
      </c>
    </row>
    <row r="63" spans="1:8" x14ac:dyDescent="0.25">
      <c r="A63">
        <v>2024</v>
      </c>
      <c r="B63">
        <v>10</v>
      </c>
      <c r="C63" t="s">
        <v>17</v>
      </c>
      <c r="D63">
        <v>11</v>
      </c>
      <c r="E63">
        <v>3</v>
      </c>
      <c r="F63">
        <v>1</v>
      </c>
      <c r="G63" t="s">
        <v>9</v>
      </c>
      <c r="H63" t="s">
        <v>10</v>
      </c>
    </row>
    <row r="64" spans="1:8" x14ac:dyDescent="0.25">
      <c r="A64">
        <v>2024</v>
      </c>
      <c r="B64">
        <v>11</v>
      </c>
      <c r="C64" t="s">
        <v>17</v>
      </c>
      <c r="D64">
        <v>7</v>
      </c>
      <c r="E64">
        <v>2</v>
      </c>
      <c r="F64">
        <v>1</v>
      </c>
      <c r="G64" t="s">
        <v>9</v>
      </c>
      <c r="H64" t="s">
        <v>10</v>
      </c>
    </row>
    <row r="65" spans="1:8" x14ac:dyDescent="0.25">
      <c r="A65">
        <v>2024</v>
      </c>
      <c r="B65">
        <v>12</v>
      </c>
      <c r="C65" t="s">
        <v>17</v>
      </c>
      <c r="D65">
        <v>1</v>
      </c>
      <c r="E65">
        <v>1</v>
      </c>
      <c r="F65">
        <v>1</v>
      </c>
      <c r="G65" t="s">
        <v>9</v>
      </c>
      <c r="H65" t="s">
        <v>10</v>
      </c>
    </row>
    <row r="66" spans="1:8" x14ac:dyDescent="0.25">
      <c r="A66">
        <v>2024</v>
      </c>
      <c r="B66">
        <v>13</v>
      </c>
      <c r="C66" t="s">
        <v>17</v>
      </c>
      <c r="D66">
        <v>6</v>
      </c>
      <c r="E66">
        <v>4</v>
      </c>
      <c r="F66">
        <v>1</v>
      </c>
      <c r="G66" t="s">
        <v>11</v>
      </c>
      <c r="H66" t="s">
        <v>10</v>
      </c>
    </row>
    <row r="67" spans="1:8" x14ac:dyDescent="0.25">
      <c r="A67">
        <v>2024</v>
      </c>
      <c r="B67">
        <v>14</v>
      </c>
      <c r="C67" t="s">
        <v>17</v>
      </c>
      <c r="D67">
        <v>0</v>
      </c>
      <c r="E67">
        <v>0</v>
      </c>
      <c r="F67">
        <v>0</v>
      </c>
      <c r="G67" t="s">
        <v>9</v>
      </c>
      <c r="H67" t="s">
        <v>10</v>
      </c>
    </row>
    <row r="68" spans="1:8" x14ac:dyDescent="0.25">
      <c r="A68">
        <v>2024</v>
      </c>
      <c r="B68">
        <v>15</v>
      </c>
      <c r="C68" t="s">
        <v>17</v>
      </c>
      <c r="D68">
        <v>11</v>
      </c>
      <c r="E68">
        <v>4</v>
      </c>
      <c r="F68">
        <v>1</v>
      </c>
      <c r="G68" t="s">
        <v>9</v>
      </c>
      <c r="H68" t="s">
        <v>10</v>
      </c>
    </row>
    <row r="69" spans="1:8" x14ac:dyDescent="0.25">
      <c r="A69">
        <v>2024</v>
      </c>
      <c r="B69">
        <v>16</v>
      </c>
      <c r="C69" t="s">
        <v>17</v>
      </c>
      <c r="D69">
        <v>5</v>
      </c>
      <c r="E69">
        <v>2</v>
      </c>
      <c r="F69">
        <v>1</v>
      </c>
      <c r="G69" t="s">
        <v>11</v>
      </c>
      <c r="H69" t="s">
        <v>10</v>
      </c>
    </row>
    <row r="70" spans="1:8" x14ac:dyDescent="0.25">
      <c r="A70">
        <v>2024</v>
      </c>
      <c r="B70">
        <v>17</v>
      </c>
      <c r="C70" t="s">
        <v>17</v>
      </c>
      <c r="D70">
        <v>7</v>
      </c>
      <c r="E70">
        <v>2</v>
      </c>
      <c r="F70">
        <v>1</v>
      </c>
      <c r="G70" t="s">
        <v>9</v>
      </c>
      <c r="H70" t="s">
        <v>12</v>
      </c>
    </row>
    <row r="71" spans="1:8" x14ac:dyDescent="0.25">
      <c r="A71">
        <v>2024</v>
      </c>
      <c r="B71">
        <v>18</v>
      </c>
      <c r="C71" t="s">
        <v>17</v>
      </c>
      <c r="D71">
        <v>0</v>
      </c>
      <c r="E71">
        <v>0</v>
      </c>
      <c r="F71">
        <v>0</v>
      </c>
      <c r="G71" t="s">
        <v>9</v>
      </c>
      <c r="H71" t="s">
        <v>12</v>
      </c>
    </row>
    <row r="72" spans="1:8" x14ac:dyDescent="0.25">
      <c r="A72">
        <v>2024</v>
      </c>
      <c r="B72">
        <v>19</v>
      </c>
      <c r="C72" t="s">
        <v>17</v>
      </c>
      <c r="D72">
        <v>2</v>
      </c>
      <c r="E72">
        <v>2</v>
      </c>
      <c r="F72">
        <v>1</v>
      </c>
      <c r="G72" t="s">
        <v>11</v>
      </c>
      <c r="H72" t="s">
        <v>12</v>
      </c>
    </row>
    <row r="73" spans="1:8" x14ac:dyDescent="0.25">
      <c r="A73">
        <v>2024</v>
      </c>
      <c r="B73">
        <v>20</v>
      </c>
      <c r="C73" t="s">
        <v>17</v>
      </c>
      <c r="D73">
        <v>10</v>
      </c>
      <c r="E73">
        <v>5</v>
      </c>
      <c r="F73">
        <v>1</v>
      </c>
      <c r="G73" t="s">
        <v>9</v>
      </c>
      <c r="H73" t="s">
        <v>12</v>
      </c>
    </row>
    <row r="74" spans="1:8" x14ac:dyDescent="0.25">
      <c r="A74">
        <v>2024</v>
      </c>
      <c r="B74">
        <v>21</v>
      </c>
      <c r="C74" t="s">
        <v>17</v>
      </c>
      <c r="D74">
        <v>1</v>
      </c>
      <c r="E74">
        <v>1</v>
      </c>
      <c r="F74">
        <v>1</v>
      </c>
      <c r="G74" t="s">
        <v>9</v>
      </c>
      <c r="H74" t="s">
        <v>12</v>
      </c>
    </row>
    <row r="75" spans="1:8" x14ac:dyDescent="0.25">
      <c r="A75">
        <v>2024</v>
      </c>
      <c r="B75">
        <v>22</v>
      </c>
      <c r="C75" t="s">
        <v>17</v>
      </c>
      <c r="D75">
        <v>2</v>
      </c>
      <c r="E75">
        <v>2</v>
      </c>
      <c r="F75">
        <v>1</v>
      </c>
      <c r="G75" t="s">
        <v>9</v>
      </c>
      <c r="H75" t="s">
        <v>12</v>
      </c>
    </row>
    <row r="76" spans="1:8" x14ac:dyDescent="0.25">
      <c r="A76">
        <v>2024</v>
      </c>
      <c r="B76">
        <v>23</v>
      </c>
      <c r="C76" t="s">
        <v>17</v>
      </c>
      <c r="D76">
        <v>1</v>
      </c>
      <c r="E76">
        <v>1</v>
      </c>
      <c r="F76">
        <v>1</v>
      </c>
      <c r="G76" t="s">
        <v>9</v>
      </c>
      <c r="H76" t="s">
        <v>12</v>
      </c>
    </row>
    <row r="77" spans="1:8" x14ac:dyDescent="0.25">
      <c r="A77">
        <v>2024</v>
      </c>
      <c r="B77">
        <v>24</v>
      </c>
      <c r="C77" t="s">
        <v>17</v>
      </c>
      <c r="D77">
        <v>9</v>
      </c>
      <c r="E77">
        <v>3</v>
      </c>
      <c r="F77">
        <v>1</v>
      </c>
      <c r="G77" t="s">
        <v>11</v>
      </c>
      <c r="H77" t="s">
        <v>12</v>
      </c>
    </row>
    <row r="78" spans="1:8" x14ac:dyDescent="0.25">
      <c r="A78">
        <v>2024</v>
      </c>
      <c r="B78">
        <v>25</v>
      </c>
      <c r="C78" t="s">
        <v>17</v>
      </c>
      <c r="D78">
        <v>5</v>
      </c>
      <c r="E78">
        <v>2</v>
      </c>
      <c r="F78">
        <v>1</v>
      </c>
      <c r="G78" t="s">
        <v>9</v>
      </c>
      <c r="H78" t="s">
        <v>12</v>
      </c>
    </row>
    <row r="79" spans="1:8" x14ac:dyDescent="0.25">
      <c r="A79">
        <v>2024</v>
      </c>
      <c r="B79">
        <v>26</v>
      </c>
      <c r="C79" t="s">
        <v>17</v>
      </c>
      <c r="D79">
        <v>9</v>
      </c>
      <c r="E79">
        <v>2</v>
      </c>
      <c r="F79">
        <v>0.5</v>
      </c>
      <c r="G79" t="s">
        <v>9</v>
      </c>
      <c r="H79" t="s">
        <v>12</v>
      </c>
    </row>
    <row r="80" spans="1:8" x14ac:dyDescent="0.25">
      <c r="A80">
        <v>2024</v>
      </c>
      <c r="B80">
        <v>27</v>
      </c>
      <c r="C80" t="s">
        <v>17</v>
      </c>
      <c r="D80">
        <v>3</v>
      </c>
      <c r="E80">
        <v>1</v>
      </c>
      <c r="F80">
        <v>1</v>
      </c>
      <c r="G80" t="s">
        <v>9</v>
      </c>
      <c r="H80" t="s">
        <v>12</v>
      </c>
    </row>
    <row r="81" spans="1:8" x14ac:dyDescent="0.25">
      <c r="A81">
        <v>2024</v>
      </c>
      <c r="B81">
        <v>28</v>
      </c>
      <c r="C81" t="s">
        <v>17</v>
      </c>
      <c r="D81">
        <v>10</v>
      </c>
      <c r="E81">
        <v>6</v>
      </c>
      <c r="F81">
        <f>5/6</f>
        <v>0.83333333333333337</v>
      </c>
      <c r="G81" t="s">
        <v>9</v>
      </c>
      <c r="H81" t="s">
        <v>12</v>
      </c>
    </row>
    <row r="82" spans="1:8" x14ac:dyDescent="0.25">
      <c r="A82">
        <v>2024</v>
      </c>
      <c r="B82">
        <v>29</v>
      </c>
      <c r="C82" t="s">
        <v>17</v>
      </c>
      <c r="D82">
        <v>2</v>
      </c>
      <c r="E82">
        <v>1</v>
      </c>
      <c r="F82">
        <v>1</v>
      </c>
      <c r="G82" t="s">
        <v>9</v>
      </c>
      <c r="H82" t="s">
        <v>12</v>
      </c>
    </row>
    <row r="83" spans="1:8" x14ac:dyDescent="0.25">
      <c r="A83">
        <v>2024</v>
      </c>
      <c r="B83">
        <v>30</v>
      </c>
      <c r="C83" t="s">
        <v>17</v>
      </c>
      <c r="D83">
        <v>15</v>
      </c>
      <c r="E83">
        <v>5</v>
      </c>
      <c r="F83">
        <v>1</v>
      </c>
      <c r="G83" t="s">
        <v>11</v>
      </c>
      <c r="H83" t="s">
        <v>12</v>
      </c>
    </row>
    <row r="84" spans="1:8" x14ac:dyDescent="0.25">
      <c r="A84">
        <v>2024</v>
      </c>
      <c r="B84">
        <v>31</v>
      </c>
      <c r="C84" t="s">
        <v>17</v>
      </c>
      <c r="D84">
        <v>14</v>
      </c>
      <c r="E84">
        <v>8</v>
      </c>
      <c r="F84">
        <f>7/8</f>
        <v>0.875</v>
      </c>
      <c r="G84" t="s">
        <v>9</v>
      </c>
      <c r="H84" t="s">
        <v>12</v>
      </c>
    </row>
    <row r="85" spans="1:8" x14ac:dyDescent="0.25">
      <c r="A85">
        <v>2024</v>
      </c>
      <c r="B85">
        <v>32</v>
      </c>
      <c r="C85" t="s">
        <v>17</v>
      </c>
      <c r="D85">
        <v>4</v>
      </c>
      <c r="E85">
        <v>2</v>
      </c>
      <c r="F85">
        <v>1</v>
      </c>
      <c r="G85" t="s">
        <v>9</v>
      </c>
      <c r="H85" t="s">
        <v>12</v>
      </c>
    </row>
    <row r="86" spans="1:8" x14ac:dyDescent="0.25">
      <c r="A86">
        <v>2024</v>
      </c>
      <c r="B86">
        <v>33</v>
      </c>
      <c r="C86" t="s">
        <v>17</v>
      </c>
      <c r="D86">
        <v>12</v>
      </c>
      <c r="E86">
        <v>5</v>
      </c>
      <c r="F86">
        <v>1</v>
      </c>
      <c r="G86" t="s">
        <v>9</v>
      </c>
      <c r="H86" t="s">
        <v>12</v>
      </c>
    </row>
    <row r="87" spans="1:8" x14ac:dyDescent="0.25">
      <c r="A87">
        <v>2024</v>
      </c>
      <c r="B87">
        <v>34</v>
      </c>
      <c r="C87" t="s">
        <v>17</v>
      </c>
      <c r="D87">
        <v>0</v>
      </c>
      <c r="E87">
        <v>0</v>
      </c>
      <c r="F87">
        <v>0</v>
      </c>
      <c r="G87" t="s">
        <v>9</v>
      </c>
      <c r="H87" t="s">
        <v>12</v>
      </c>
    </row>
    <row r="88" spans="1:8" x14ac:dyDescent="0.25">
      <c r="A88">
        <v>2024</v>
      </c>
      <c r="B88">
        <v>35</v>
      </c>
      <c r="C88" t="s">
        <v>17</v>
      </c>
      <c r="D88">
        <v>2</v>
      </c>
      <c r="E88">
        <v>1</v>
      </c>
      <c r="F88">
        <v>1</v>
      </c>
      <c r="G88" t="s">
        <v>9</v>
      </c>
      <c r="H88" t="s">
        <v>12</v>
      </c>
    </row>
    <row r="89" spans="1:8" x14ac:dyDescent="0.25">
      <c r="A89">
        <v>2024</v>
      </c>
      <c r="B89">
        <v>36</v>
      </c>
      <c r="C89" t="s">
        <v>17</v>
      </c>
      <c r="D89">
        <v>7</v>
      </c>
      <c r="E89">
        <v>4</v>
      </c>
      <c r="F89">
        <v>1</v>
      </c>
      <c r="G89" t="s">
        <v>9</v>
      </c>
      <c r="H89" t="s">
        <v>12</v>
      </c>
    </row>
    <row r="90" spans="1:8" x14ac:dyDescent="0.25">
      <c r="A90">
        <v>2024</v>
      </c>
      <c r="B90">
        <v>37</v>
      </c>
      <c r="C90" t="s">
        <v>17</v>
      </c>
      <c r="D90">
        <v>1</v>
      </c>
      <c r="E90">
        <v>1</v>
      </c>
      <c r="F90">
        <v>1</v>
      </c>
      <c r="G90" t="s">
        <v>9</v>
      </c>
      <c r="H90" t="s">
        <v>12</v>
      </c>
    </row>
    <row r="91" spans="1:8" x14ac:dyDescent="0.25">
      <c r="A91">
        <v>2024</v>
      </c>
      <c r="B91">
        <v>38</v>
      </c>
      <c r="C91" t="s">
        <v>17</v>
      </c>
      <c r="D91">
        <v>0</v>
      </c>
      <c r="E91">
        <v>0</v>
      </c>
      <c r="F91">
        <v>0</v>
      </c>
      <c r="G91" t="s">
        <v>9</v>
      </c>
      <c r="H91" t="s">
        <v>12</v>
      </c>
    </row>
    <row r="92" spans="1:8" x14ac:dyDescent="0.25">
      <c r="A92">
        <v>2024</v>
      </c>
      <c r="B92">
        <v>39</v>
      </c>
      <c r="C92" t="s">
        <v>17</v>
      </c>
      <c r="D92">
        <v>18</v>
      </c>
      <c r="E92">
        <v>6</v>
      </c>
      <c r="F92">
        <v>1</v>
      </c>
      <c r="G92" t="s">
        <v>9</v>
      </c>
      <c r="H92" t="s">
        <v>12</v>
      </c>
    </row>
    <row r="93" spans="1:8" x14ac:dyDescent="0.25">
      <c r="A93">
        <v>2024</v>
      </c>
      <c r="B93">
        <v>40</v>
      </c>
      <c r="C93" t="s">
        <v>17</v>
      </c>
      <c r="D93">
        <v>9</v>
      </c>
      <c r="E93">
        <v>3</v>
      </c>
      <c r="F93">
        <v>1</v>
      </c>
      <c r="G93" t="s">
        <v>9</v>
      </c>
      <c r="H93" t="s">
        <v>12</v>
      </c>
    </row>
    <row r="94" spans="1:8" x14ac:dyDescent="0.25">
      <c r="A94">
        <v>2024</v>
      </c>
      <c r="B94">
        <v>41</v>
      </c>
      <c r="C94" t="s">
        <v>17</v>
      </c>
      <c r="D94">
        <v>28</v>
      </c>
      <c r="E94">
        <v>3</v>
      </c>
      <c r="F94">
        <v>1</v>
      </c>
      <c r="G94" t="s">
        <v>9</v>
      </c>
      <c r="H94" t="s">
        <v>12</v>
      </c>
    </row>
    <row r="95" spans="1:8" x14ac:dyDescent="0.25">
      <c r="A95">
        <v>2024</v>
      </c>
      <c r="B95">
        <v>42</v>
      </c>
      <c r="C95" t="s">
        <v>17</v>
      </c>
      <c r="D95">
        <v>9</v>
      </c>
      <c r="E95">
        <v>9</v>
      </c>
      <c r="F95">
        <v>1</v>
      </c>
      <c r="G95" t="s">
        <v>9</v>
      </c>
      <c r="H95" t="s">
        <v>12</v>
      </c>
    </row>
    <row r="96" spans="1:8" x14ac:dyDescent="0.25">
      <c r="A96">
        <v>2024</v>
      </c>
      <c r="B96">
        <v>43</v>
      </c>
      <c r="C96" t="s">
        <v>17</v>
      </c>
      <c r="D96">
        <v>2</v>
      </c>
      <c r="E96">
        <v>1</v>
      </c>
      <c r="F96">
        <v>1</v>
      </c>
      <c r="G96" t="s">
        <v>9</v>
      </c>
      <c r="H96" t="s">
        <v>12</v>
      </c>
    </row>
    <row r="97" spans="1:8" x14ac:dyDescent="0.25">
      <c r="A97">
        <v>2024</v>
      </c>
      <c r="B97">
        <v>44</v>
      </c>
      <c r="C97" t="s">
        <v>17</v>
      </c>
      <c r="D97">
        <v>4</v>
      </c>
      <c r="E97">
        <v>1</v>
      </c>
      <c r="F97">
        <v>1</v>
      </c>
      <c r="G97" t="s">
        <v>9</v>
      </c>
      <c r="H97" t="s">
        <v>10</v>
      </c>
    </row>
    <row r="98" spans="1:8" x14ac:dyDescent="0.25">
      <c r="A98">
        <v>2024</v>
      </c>
      <c r="B98">
        <v>45</v>
      </c>
      <c r="C98" t="s">
        <v>17</v>
      </c>
      <c r="D98">
        <v>3</v>
      </c>
      <c r="E98">
        <v>1</v>
      </c>
      <c r="F98">
        <v>1</v>
      </c>
      <c r="G98" t="s">
        <v>9</v>
      </c>
      <c r="H98" t="s">
        <v>10</v>
      </c>
    </row>
    <row r="99" spans="1:8" x14ac:dyDescent="0.25">
      <c r="A99">
        <v>2024</v>
      </c>
      <c r="B99">
        <v>46</v>
      </c>
      <c r="C99" t="s">
        <v>17</v>
      </c>
      <c r="D99">
        <v>7</v>
      </c>
      <c r="E99">
        <v>2</v>
      </c>
      <c r="F99">
        <v>1</v>
      </c>
      <c r="G99" t="s">
        <v>9</v>
      </c>
      <c r="H99" t="s">
        <v>10</v>
      </c>
    </row>
    <row r="100" spans="1:8" x14ac:dyDescent="0.25">
      <c r="A100">
        <v>2024</v>
      </c>
      <c r="B100">
        <v>47</v>
      </c>
      <c r="C100" t="s">
        <v>17</v>
      </c>
      <c r="D100">
        <v>21</v>
      </c>
      <c r="E100">
        <v>2</v>
      </c>
      <c r="F100">
        <v>1</v>
      </c>
      <c r="G100" t="s">
        <v>9</v>
      </c>
      <c r="H100" t="s">
        <v>10</v>
      </c>
    </row>
    <row r="101" spans="1:8" x14ac:dyDescent="0.25">
      <c r="A101">
        <v>2024</v>
      </c>
      <c r="B101">
        <v>48</v>
      </c>
      <c r="C101" t="s">
        <v>17</v>
      </c>
      <c r="D101">
        <v>1</v>
      </c>
      <c r="E101">
        <v>1</v>
      </c>
      <c r="F101">
        <v>1</v>
      </c>
      <c r="G101" t="s">
        <v>9</v>
      </c>
      <c r="H101" t="s">
        <v>10</v>
      </c>
    </row>
    <row r="102" spans="1:8" x14ac:dyDescent="0.25">
      <c r="A102">
        <v>2024</v>
      </c>
      <c r="B102">
        <v>49</v>
      </c>
      <c r="C102" t="s">
        <v>17</v>
      </c>
      <c r="D102">
        <v>2</v>
      </c>
      <c r="E102">
        <v>1</v>
      </c>
      <c r="F102">
        <v>1</v>
      </c>
      <c r="G102" t="s">
        <v>9</v>
      </c>
      <c r="H102" t="s">
        <v>10</v>
      </c>
    </row>
    <row r="103" spans="1:8" x14ac:dyDescent="0.25">
      <c r="A103">
        <v>2024</v>
      </c>
      <c r="B103">
        <v>50</v>
      </c>
      <c r="C103" t="s">
        <v>17</v>
      </c>
      <c r="D103">
        <v>22</v>
      </c>
      <c r="E103">
        <v>2</v>
      </c>
      <c r="F103">
        <v>1</v>
      </c>
      <c r="G103" t="s">
        <v>9</v>
      </c>
      <c r="H103" t="s">
        <v>10</v>
      </c>
    </row>
    <row r="104" spans="1:8" x14ac:dyDescent="0.25">
      <c r="A104">
        <v>2024</v>
      </c>
      <c r="B104">
        <v>51</v>
      </c>
      <c r="C104" t="s">
        <v>17</v>
      </c>
      <c r="D104">
        <v>0</v>
      </c>
      <c r="E104">
        <v>0</v>
      </c>
      <c r="F104">
        <v>0</v>
      </c>
      <c r="G104" t="s">
        <v>11</v>
      </c>
      <c r="H104" t="s">
        <v>10</v>
      </c>
    </row>
    <row r="105" spans="1:8" x14ac:dyDescent="0.25">
      <c r="A105">
        <v>2024</v>
      </c>
      <c r="B105">
        <v>52</v>
      </c>
      <c r="C105" t="s">
        <v>17</v>
      </c>
      <c r="D105">
        <v>11</v>
      </c>
      <c r="E105">
        <v>3</v>
      </c>
      <c r="F105">
        <v>1</v>
      </c>
      <c r="G105" t="s">
        <v>11</v>
      </c>
      <c r="H105" t="s">
        <v>10</v>
      </c>
    </row>
    <row r="106" spans="1:8" x14ac:dyDescent="0.25">
      <c r="A106">
        <v>2024</v>
      </c>
      <c r="B106">
        <v>53</v>
      </c>
      <c r="C106" t="s">
        <v>17</v>
      </c>
      <c r="D106">
        <v>6</v>
      </c>
      <c r="E106">
        <v>2</v>
      </c>
      <c r="F106">
        <v>1</v>
      </c>
      <c r="G106" t="s">
        <v>11</v>
      </c>
      <c r="H106" t="s">
        <v>10</v>
      </c>
    </row>
    <row r="107" spans="1:8" x14ac:dyDescent="0.25">
      <c r="A107">
        <v>2025</v>
      </c>
      <c r="B107">
        <v>1</v>
      </c>
      <c r="C107" t="s">
        <v>17</v>
      </c>
      <c r="D107">
        <v>0</v>
      </c>
      <c r="E107">
        <v>0</v>
      </c>
      <c r="F107">
        <v>0</v>
      </c>
      <c r="G107" t="s">
        <v>9</v>
      </c>
      <c r="H107" t="s">
        <v>10</v>
      </c>
    </row>
    <row r="108" spans="1:8" x14ac:dyDescent="0.25">
      <c r="A108">
        <v>2025</v>
      </c>
      <c r="B108">
        <v>2</v>
      </c>
      <c r="C108" t="s">
        <v>17</v>
      </c>
      <c r="D108">
        <v>0</v>
      </c>
      <c r="E108">
        <v>0</v>
      </c>
      <c r="F108">
        <v>0</v>
      </c>
      <c r="G108" t="s">
        <v>9</v>
      </c>
      <c r="H108" t="s">
        <v>10</v>
      </c>
    </row>
    <row r="109" spans="1:8" x14ac:dyDescent="0.25">
      <c r="A109">
        <v>2025</v>
      </c>
      <c r="B109">
        <v>3</v>
      </c>
      <c r="C109" t="s">
        <v>17</v>
      </c>
      <c r="D109">
        <v>0</v>
      </c>
      <c r="E109">
        <v>0</v>
      </c>
      <c r="F109">
        <v>0</v>
      </c>
      <c r="G109" t="s">
        <v>9</v>
      </c>
      <c r="H109" t="s">
        <v>10</v>
      </c>
    </row>
    <row r="110" spans="1:8" x14ac:dyDescent="0.25">
      <c r="A110">
        <v>2025</v>
      </c>
      <c r="B110">
        <v>4</v>
      </c>
      <c r="C110" t="s">
        <v>17</v>
      </c>
      <c r="D110">
        <v>0</v>
      </c>
      <c r="E110">
        <v>0</v>
      </c>
      <c r="F110">
        <v>0</v>
      </c>
      <c r="G110" t="s">
        <v>9</v>
      </c>
      <c r="H110" t="s">
        <v>10</v>
      </c>
    </row>
    <row r="111" spans="1:8" x14ac:dyDescent="0.25">
      <c r="A111">
        <v>2025</v>
      </c>
      <c r="B111">
        <v>5</v>
      </c>
      <c r="C111" t="s">
        <v>17</v>
      </c>
      <c r="D111">
        <v>7</v>
      </c>
      <c r="E111">
        <v>2</v>
      </c>
      <c r="F111">
        <v>1</v>
      </c>
      <c r="G111" t="s">
        <v>9</v>
      </c>
      <c r="H111" t="s">
        <v>10</v>
      </c>
    </row>
    <row r="112" spans="1:8" x14ac:dyDescent="0.25">
      <c r="A112">
        <v>2025</v>
      </c>
      <c r="B112">
        <v>6</v>
      </c>
      <c r="C112" t="s">
        <v>17</v>
      </c>
      <c r="D112">
        <v>1</v>
      </c>
      <c r="E112">
        <v>1</v>
      </c>
      <c r="F112">
        <v>1</v>
      </c>
      <c r="G112" t="s">
        <v>9</v>
      </c>
      <c r="H112" t="s">
        <v>10</v>
      </c>
    </row>
    <row r="113" spans="1:8" x14ac:dyDescent="0.25">
      <c r="A113">
        <v>2025</v>
      </c>
      <c r="B113">
        <v>7</v>
      </c>
      <c r="C113" t="s">
        <v>17</v>
      </c>
      <c r="D113">
        <v>3</v>
      </c>
      <c r="E113">
        <v>1</v>
      </c>
      <c r="F113">
        <v>1</v>
      </c>
      <c r="G113" t="s">
        <v>9</v>
      </c>
      <c r="H113" t="s">
        <v>10</v>
      </c>
    </row>
    <row r="114" spans="1:8" x14ac:dyDescent="0.25">
      <c r="A114">
        <v>2025</v>
      </c>
      <c r="B114">
        <v>8</v>
      </c>
      <c r="C114" t="s">
        <v>17</v>
      </c>
      <c r="D114">
        <v>4</v>
      </c>
      <c r="E114">
        <v>1</v>
      </c>
      <c r="F114">
        <v>1</v>
      </c>
      <c r="G114" t="s">
        <v>11</v>
      </c>
      <c r="H114" t="s">
        <v>10</v>
      </c>
    </row>
    <row r="115" spans="1:8" x14ac:dyDescent="0.25">
      <c r="A115">
        <v>2025</v>
      </c>
      <c r="B115">
        <v>9</v>
      </c>
      <c r="C115" t="s">
        <v>17</v>
      </c>
      <c r="D115">
        <v>9</v>
      </c>
      <c r="E115">
        <v>6</v>
      </c>
      <c r="F115">
        <v>1</v>
      </c>
      <c r="G115" t="s">
        <v>11</v>
      </c>
      <c r="H115" t="s">
        <v>10</v>
      </c>
    </row>
    <row r="116" spans="1:8" x14ac:dyDescent="0.25">
      <c r="A116">
        <v>2025</v>
      </c>
      <c r="B116">
        <v>10</v>
      </c>
      <c r="C116" t="s">
        <v>17</v>
      </c>
      <c r="D116">
        <v>2</v>
      </c>
      <c r="E116">
        <v>1</v>
      </c>
      <c r="F116">
        <v>1</v>
      </c>
      <c r="G116" t="s">
        <v>9</v>
      </c>
      <c r="H116" t="s">
        <v>10</v>
      </c>
    </row>
    <row r="117" spans="1:8" x14ac:dyDescent="0.25">
      <c r="A117">
        <v>2025</v>
      </c>
      <c r="B117">
        <v>11</v>
      </c>
      <c r="C117" t="s">
        <v>17</v>
      </c>
      <c r="D117">
        <v>0</v>
      </c>
      <c r="E117">
        <v>0</v>
      </c>
      <c r="F117">
        <v>0</v>
      </c>
      <c r="G117" t="s">
        <v>9</v>
      </c>
      <c r="H117" t="s">
        <v>10</v>
      </c>
    </row>
    <row r="118" spans="1:8" x14ac:dyDescent="0.25">
      <c r="A118">
        <v>2025</v>
      </c>
      <c r="B118">
        <v>12</v>
      </c>
      <c r="C118" t="s">
        <v>17</v>
      </c>
      <c r="D118">
        <v>0</v>
      </c>
      <c r="E118">
        <v>0</v>
      </c>
      <c r="F118">
        <v>0</v>
      </c>
      <c r="G118" t="s">
        <v>9</v>
      </c>
      <c r="H118" t="s">
        <v>10</v>
      </c>
    </row>
    <row r="119" spans="1:8" x14ac:dyDescent="0.25">
      <c r="A119">
        <v>2025</v>
      </c>
      <c r="B119">
        <v>13</v>
      </c>
      <c r="C119" t="s">
        <v>17</v>
      </c>
      <c r="D119">
        <v>0</v>
      </c>
      <c r="E119">
        <v>0</v>
      </c>
      <c r="F119">
        <v>0</v>
      </c>
      <c r="G119" t="s">
        <v>9</v>
      </c>
      <c r="H119" t="s">
        <v>12</v>
      </c>
    </row>
    <row r="120" spans="1:8" x14ac:dyDescent="0.25">
      <c r="A120">
        <v>2025</v>
      </c>
      <c r="B120">
        <v>14</v>
      </c>
      <c r="C120" t="s">
        <v>17</v>
      </c>
      <c r="D120">
        <v>4</v>
      </c>
      <c r="E120">
        <v>2</v>
      </c>
      <c r="F120">
        <v>1</v>
      </c>
      <c r="G120" t="s">
        <v>9</v>
      </c>
      <c r="H120" t="s">
        <v>12</v>
      </c>
    </row>
    <row r="121" spans="1:8" x14ac:dyDescent="0.25">
      <c r="A121">
        <v>2025</v>
      </c>
      <c r="B121">
        <v>15</v>
      </c>
      <c r="C121" t="s">
        <v>17</v>
      </c>
      <c r="D121">
        <v>17</v>
      </c>
      <c r="E121">
        <v>4</v>
      </c>
      <c r="F121">
        <v>1</v>
      </c>
      <c r="G121" t="s">
        <v>9</v>
      </c>
      <c r="H121" t="s">
        <v>12</v>
      </c>
    </row>
    <row r="122" spans="1:8" x14ac:dyDescent="0.25">
      <c r="A122">
        <v>2025</v>
      </c>
      <c r="B122">
        <v>16</v>
      </c>
      <c r="C122" t="s">
        <v>17</v>
      </c>
      <c r="D122">
        <v>13</v>
      </c>
      <c r="E122">
        <v>4</v>
      </c>
      <c r="F122">
        <v>0.75</v>
      </c>
      <c r="G122" t="s">
        <v>11</v>
      </c>
      <c r="H122" t="s">
        <v>12</v>
      </c>
    </row>
    <row r="123" spans="1:8" x14ac:dyDescent="0.25">
      <c r="A123">
        <v>2025</v>
      </c>
      <c r="B123">
        <v>17</v>
      </c>
      <c r="C123" t="s">
        <v>17</v>
      </c>
      <c r="D123">
        <v>5</v>
      </c>
      <c r="E123">
        <v>3</v>
      </c>
      <c r="F123">
        <v>1</v>
      </c>
      <c r="G123" t="s">
        <v>11</v>
      </c>
      <c r="H123" t="s">
        <v>12</v>
      </c>
    </row>
    <row r="124" spans="1:8" x14ac:dyDescent="0.25">
      <c r="A124">
        <v>2025</v>
      </c>
      <c r="B124">
        <v>18</v>
      </c>
      <c r="C124" t="s">
        <v>17</v>
      </c>
      <c r="D124">
        <v>15</v>
      </c>
      <c r="E124">
        <v>3</v>
      </c>
      <c r="F124">
        <v>1</v>
      </c>
      <c r="G124" t="s">
        <v>9</v>
      </c>
      <c r="H124" t="s">
        <v>12</v>
      </c>
    </row>
    <row r="125" spans="1:8" x14ac:dyDescent="0.25">
      <c r="A125">
        <v>2025</v>
      </c>
      <c r="B125">
        <v>19</v>
      </c>
      <c r="C125" t="s">
        <v>17</v>
      </c>
      <c r="D125">
        <v>3</v>
      </c>
      <c r="E125">
        <v>1</v>
      </c>
      <c r="F125">
        <v>1</v>
      </c>
      <c r="G125" t="s">
        <v>11</v>
      </c>
      <c r="H125" t="s">
        <v>12</v>
      </c>
    </row>
    <row r="126" spans="1:8" x14ac:dyDescent="0.25">
      <c r="A126">
        <v>2025</v>
      </c>
      <c r="B126">
        <v>20</v>
      </c>
      <c r="C126" t="s">
        <v>17</v>
      </c>
      <c r="D126">
        <v>16</v>
      </c>
      <c r="E126">
        <v>2</v>
      </c>
      <c r="F126">
        <v>1</v>
      </c>
      <c r="G126" t="s">
        <v>9</v>
      </c>
      <c r="H126" t="s">
        <v>12</v>
      </c>
    </row>
    <row r="127" spans="1:8" x14ac:dyDescent="0.25">
      <c r="A127">
        <v>2025</v>
      </c>
      <c r="B127">
        <v>21</v>
      </c>
      <c r="C127" t="s">
        <v>17</v>
      </c>
      <c r="D127">
        <v>15</v>
      </c>
      <c r="E127">
        <v>2</v>
      </c>
      <c r="F127">
        <v>1</v>
      </c>
      <c r="G127" t="s">
        <v>9</v>
      </c>
      <c r="H127" t="s">
        <v>12</v>
      </c>
    </row>
    <row r="128" spans="1:8" x14ac:dyDescent="0.25">
      <c r="A128">
        <v>2025</v>
      </c>
      <c r="B128">
        <v>22</v>
      </c>
      <c r="C128" t="s">
        <v>17</v>
      </c>
      <c r="D128">
        <v>9</v>
      </c>
      <c r="E128">
        <v>2</v>
      </c>
      <c r="F128">
        <v>1</v>
      </c>
      <c r="G128" t="s">
        <v>9</v>
      </c>
      <c r="H128" t="s">
        <v>12</v>
      </c>
    </row>
    <row r="129" spans="1:8" x14ac:dyDescent="0.25">
      <c r="A129">
        <v>2025</v>
      </c>
      <c r="B129">
        <v>23</v>
      </c>
      <c r="C129" t="s">
        <v>17</v>
      </c>
      <c r="D129">
        <v>10</v>
      </c>
      <c r="E129">
        <v>3</v>
      </c>
      <c r="F129">
        <v>1</v>
      </c>
      <c r="G129" t="s">
        <v>9</v>
      </c>
      <c r="H129" t="s">
        <v>12</v>
      </c>
    </row>
    <row r="130" spans="1:8" x14ac:dyDescent="0.25">
      <c r="A130">
        <v>2025</v>
      </c>
      <c r="B130">
        <v>24</v>
      </c>
      <c r="C130" t="s">
        <v>17</v>
      </c>
      <c r="D130">
        <v>0</v>
      </c>
      <c r="E130">
        <v>0</v>
      </c>
      <c r="F130">
        <v>0</v>
      </c>
      <c r="G130" t="s">
        <v>11</v>
      </c>
      <c r="H130" t="s">
        <v>12</v>
      </c>
    </row>
    <row r="131" spans="1:8" x14ac:dyDescent="0.25">
      <c r="A131">
        <v>2025</v>
      </c>
      <c r="B131">
        <v>25</v>
      </c>
      <c r="C131" t="s">
        <v>17</v>
      </c>
      <c r="D131">
        <v>3</v>
      </c>
      <c r="E131">
        <v>1</v>
      </c>
      <c r="F131">
        <v>1</v>
      </c>
      <c r="G131" t="s">
        <v>9</v>
      </c>
      <c r="H131" t="s">
        <v>12</v>
      </c>
    </row>
    <row r="132" spans="1:8" x14ac:dyDescent="0.25">
      <c r="A132">
        <v>2025</v>
      </c>
      <c r="B132">
        <v>26</v>
      </c>
      <c r="C132" t="s">
        <v>17</v>
      </c>
      <c r="D132">
        <v>6</v>
      </c>
      <c r="E132">
        <v>2</v>
      </c>
      <c r="F132">
        <v>1</v>
      </c>
      <c r="G132" t="s">
        <v>9</v>
      </c>
      <c r="H132" t="s">
        <v>12</v>
      </c>
    </row>
    <row r="133" spans="1:8" x14ac:dyDescent="0.25">
      <c r="A133">
        <v>2025</v>
      </c>
      <c r="B133">
        <v>27</v>
      </c>
      <c r="C133" t="s">
        <v>17</v>
      </c>
      <c r="D133">
        <v>13</v>
      </c>
      <c r="E133">
        <v>4</v>
      </c>
      <c r="F133">
        <v>1</v>
      </c>
      <c r="G133" t="s">
        <v>9</v>
      </c>
      <c r="H133" t="s">
        <v>12</v>
      </c>
    </row>
    <row r="134" spans="1:8" x14ac:dyDescent="0.25">
      <c r="A134">
        <v>2025</v>
      </c>
      <c r="B134">
        <v>28</v>
      </c>
      <c r="C134" t="s">
        <v>17</v>
      </c>
      <c r="D134">
        <v>3</v>
      </c>
      <c r="E134">
        <v>1</v>
      </c>
      <c r="F134">
        <v>1</v>
      </c>
      <c r="G134" t="s">
        <v>9</v>
      </c>
      <c r="H134" t="s">
        <v>12</v>
      </c>
    </row>
    <row r="135" spans="1:8" x14ac:dyDescent="0.25">
      <c r="A135">
        <v>2025</v>
      </c>
      <c r="B135">
        <v>29</v>
      </c>
      <c r="C135" t="s">
        <v>17</v>
      </c>
      <c r="D135">
        <v>2</v>
      </c>
      <c r="E135">
        <v>1</v>
      </c>
      <c r="F135">
        <v>1</v>
      </c>
      <c r="G135" t="s">
        <v>9</v>
      </c>
      <c r="H135" t="s">
        <v>12</v>
      </c>
    </row>
    <row r="136" spans="1:8" x14ac:dyDescent="0.25">
      <c r="A136">
        <v>2025</v>
      </c>
      <c r="B136">
        <v>30</v>
      </c>
      <c r="C136" t="s">
        <v>17</v>
      </c>
      <c r="D136">
        <v>1</v>
      </c>
      <c r="E136">
        <v>1</v>
      </c>
      <c r="F136">
        <v>1</v>
      </c>
      <c r="G136" t="s">
        <v>11</v>
      </c>
      <c r="H136" t="s">
        <v>12</v>
      </c>
    </row>
    <row r="137" spans="1:8" x14ac:dyDescent="0.25">
      <c r="A137">
        <v>2025</v>
      </c>
      <c r="B137">
        <v>31</v>
      </c>
      <c r="C137" t="s">
        <v>17</v>
      </c>
      <c r="D137">
        <v>1</v>
      </c>
      <c r="E137">
        <v>1</v>
      </c>
      <c r="F137">
        <v>0</v>
      </c>
      <c r="G137" t="s">
        <v>11</v>
      </c>
      <c r="H137" t="s">
        <v>12</v>
      </c>
    </row>
    <row r="138" spans="1:8" x14ac:dyDescent="0.25">
      <c r="A138">
        <v>2025</v>
      </c>
      <c r="B138">
        <v>32</v>
      </c>
      <c r="C138" t="s">
        <v>17</v>
      </c>
      <c r="D138">
        <v>12</v>
      </c>
      <c r="E138">
        <v>5</v>
      </c>
      <c r="F138">
        <v>1</v>
      </c>
      <c r="G138" t="s">
        <v>9</v>
      </c>
      <c r="H138" t="s">
        <v>12</v>
      </c>
    </row>
    <row r="139" spans="1:8" x14ac:dyDescent="0.25">
      <c r="A139">
        <v>2025</v>
      </c>
      <c r="B139">
        <v>33</v>
      </c>
      <c r="C139" t="s">
        <v>17</v>
      </c>
      <c r="D139">
        <v>26</v>
      </c>
      <c r="E139">
        <v>6</v>
      </c>
      <c r="F139">
        <v>1</v>
      </c>
      <c r="G139" t="s">
        <v>9</v>
      </c>
      <c r="H139" t="s">
        <v>12</v>
      </c>
    </row>
    <row r="140" spans="1:8" x14ac:dyDescent="0.25">
      <c r="A140">
        <v>2025</v>
      </c>
      <c r="B140">
        <v>34</v>
      </c>
      <c r="C140" t="s">
        <v>17</v>
      </c>
      <c r="D140">
        <v>4</v>
      </c>
      <c r="E140">
        <v>1</v>
      </c>
      <c r="F140">
        <v>1</v>
      </c>
      <c r="G140" t="s">
        <v>9</v>
      </c>
      <c r="H140" t="s">
        <v>12</v>
      </c>
    </row>
    <row r="141" spans="1:8" x14ac:dyDescent="0.25">
      <c r="A141">
        <v>2025</v>
      </c>
      <c r="B141">
        <v>35</v>
      </c>
      <c r="C141" t="s">
        <v>17</v>
      </c>
      <c r="D141">
        <v>0</v>
      </c>
      <c r="E141">
        <v>0</v>
      </c>
      <c r="F141">
        <v>0</v>
      </c>
      <c r="G141" t="s">
        <v>9</v>
      </c>
      <c r="H141" t="s">
        <v>12</v>
      </c>
    </row>
    <row r="142" spans="1:8" x14ac:dyDescent="0.25">
      <c r="A142">
        <v>2025</v>
      </c>
      <c r="B142">
        <v>36</v>
      </c>
      <c r="C142" t="s">
        <v>17</v>
      </c>
      <c r="D142">
        <v>2</v>
      </c>
      <c r="E142">
        <v>2</v>
      </c>
      <c r="F142">
        <v>1</v>
      </c>
      <c r="G142" t="s">
        <v>9</v>
      </c>
      <c r="H142" t="s">
        <v>12</v>
      </c>
    </row>
    <row r="143" spans="1:8" x14ac:dyDescent="0.25">
      <c r="A143">
        <v>2025</v>
      </c>
      <c r="B143">
        <v>37</v>
      </c>
      <c r="C143" t="s">
        <v>17</v>
      </c>
      <c r="D143">
        <v>6</v>
      </c>
      <c r="E143">
        <v>2</v>
      </c>
      <c r="F143">
        <v>1</v>
      </c>
      <c r="G143" t="s">
        <v>9</v>
      </c>
      <c r="H143" t="s">
        <v>12</v>
      </c>
    </row>
    <row r="144" spans="1:8" x14ac:dyDescent="0.25">
      <c r="A144">
        <v>2025</v>
      </c>
      <c r="B144">
        <v>38</v>
      </c>
      <c r="C144" t="s">
        <v>17</v>
      </c>
      <c r="D144">
        <v>0</v>
      </c>
      <c r="E144">
        <v>0</v>
      </c>
      <c r="F144">
        <v>0</v>
      </c>
      <c r="G144" t="s">
        <v>9</v>
      </c>
      <c r="H144" t="s">
        <v>12</v>
      </c>
    </row>
    <row r="145" spans="1:8" x14ac:dyDescent="0.25">
      <c r="A145">
        <v>2025</v>
      </c>
      <c r="B145">
        <v>39</v>
      </c>
      <c r="C145" t="s">
        <v>17</v>
      </c>
      <c r="D145">
        <v>0</v>
      </c>
      <c r="E145">
        <v>0</v>
      </c>
      <c r="F145">
        <v>0</v>
      </c>
      <c r="G145" t="s">
        <v>9</v>
      </c>
      <c r="H145" t="s">
        <v>12</v>
      </c>
    </row>
    <row r="146" spans="1:8" x14ac:dyDescent="0.25">
      <c r="A146">
        <v>2025</v>
      </c>
      <c r="B146">
        <v>40</v>
      </c>
      <c r="C146" t="s">
        <v>17</v>
      </c>
      <c r="D146">
        <v>0</v>
      </c>
      <c r="E146">
        <v>0</v>
      </c>
      <c r="F146">
        <v>0</v>
      </c>
      <c r="G146" t="s">
        <v>9</v>
      </c>
      <c r="H146" t="s">
        <v>12</v>
      </c>
    </row>
    <row r="147" spans="1:8" x14ac:dyDescent="0.25">
      <c r="A147">
        <v>2025</v>
      </c>
      <c r="B147">
        <v>41</v>
      </c>
      <c r="C147" t="s">
        <v>17</v>
      </c>
      <c r="D147">
        <v>2</v>
      </c>
      <c r="E147">
        <v>1</v>
      </c>
      <c r="F147">
        <v>1</v>
      </c>
      <c r="G147" t="s">
        <v>9</v>
      </c>
      <c r="H147" t="s">
        <v>12</v>
      </c>
    </row>
    <row r="148" spans="1:8" x14ac:dyDescent="0.25">
      <c r="A148">
        <v>2025</v>
      </c>
      <c r="B148">
        <v>42</v>
      </c>
      <c r="C148" t="s">
        <v>17</v>
      </c>
      <c r="D148">
        <v>3</v>
      </c>
      <c r="E148">
        <v>1</v>
      </c>
      <c r="F148">
        <v>1</v>
      </c>
      <c r="G148" t="s">
        <v>9</v>
      </c>
      <c r="H148" t="s">
        <v>10</v>
      </c>
    </row>
    <row r="149" spans="1:8" x14ac:dyDescent="0.25">
      <c r="A149">
        <v>2025</v>
      </c>
      <c r="B149">
        <v>43</v>
      </c>
      <c r="C149" t="s">
        <v>17</v>
      </c>
      <c r="D149">
        <v>0</v>
      </c>
      <c r="E149">
        <v>0</v>
      </c>
      <c r="F149">
        <v>0</v>
      </c>
      <c r="G149" t="s">
        <v>9</v>
      </c>
      <c r="H149" t="s">
        <v>10</v>
      </c>
    </row>
    <row r="150" spans="1:8" x14ac:dyDescent="0.25">
      <c r="A150">
        <v>2025</v>
      </c>
      <c r="B150">
        <v>44</v>
      </c>
      <c r="C150" t="s">
        <v>17</v>
      </c>
      <c r="D150">
        <v>4</v>
      </c>
      <c r="E150">
        <v>2</v>
      </c>
      <c r="F150">
        <v>1</v>
      </c>
      <c r="G150" t="s">
        <v>9</v>
      </c>
      <c r="H150" t="s">
        <v>10</v>
      </c>
    </row>
    <row r="151" spans="1:8" x14ac:dyDescent="0.25">
      <c r="A151">
        <v>2025</v>
      </c>
      <c r="B151">
        <v>45</v>
      </c>
      <c r="C151" t="s">
        <v>17</v>
      </c>
      <c r="D151">
        <v>2</v>
      </c>
      <c r="E151">
        <v>1</v>
      </c>
      <c r="F151">
        <v>1</v>
      </c>
      <c r="G151" t="s">
        <v>9</v>
      </c>
      <c r="H151" t="s">
        <v>10</v>
      </c>
    </row>
    <row r="152" spans="1:8" x14ac:dyDescent="0.25">
      <c r="A152">
        <v>2025</v>
      </c>
      <c r="B152">
        <v>46</v>
      </c>
      <c r="C152" t="s">
        <v>17</v>
      </c>
      <c r="D152">
        <v>5</v>
      </c>
      <c r="E152">
        <v>2</v>
      </c>
      <c r="F152">
        <v>1</v>
      </c>
      <c r="G152" t="s">
        <v>9</v>
      </c>
      <c r="H152" t="s">
        <v>10</v>
      </c>
    </row>
    <row r="153" spans="1:8" x14ac:dyDescent="0.25">
      <c r="A153">
        <v>2025</v>
      </c>
      <c r="B153">
        <v>47</v>
      </c>
      <c r="C153" t="s">
        <v>17</v>
      </c>
      <c r="D153">
        <v>2</v>
      </c>
      <c r="E153">
        <v>1</v>
      </c>
      <c r="F153">
        <v>1</v>
      </c>
      <c r="G153" t="s">
        <v>9</v>
      </c>
      <c r="H153" t="s">
        <v>10</v>
      </c>
    </row>
    <row r="154" spans="1:8" x14ac:dyDescent="0.25">
      <c r="A154">
        <v>2025</v>
      </c>
      <c r="B154">
        <v>48</v>
      </c>
      <c r="C154" t="s">
        <v>17</v>
      </c>
      <c r="D154">
        <v>0</v>
      </c>
      <c r="E154">
        <v>0</v>
      </c>
      <c r="F154">
        <v>0</v>
      </c>
      <c r="G154" t="s">
        <v>9</v>
      </c>
      <c r="H154" t="s">
        <v>10</v>
      </c>
    </row>
    <row r="155" spans="1:8" x14ac:dyDescent="0.25">
      <c r="A155">
        <v>2025</v>
      </c>
      <c r="B155">
        <v>49</v>
      </c>
      <c r="C155" t="s">
        <v>17</v>
      </c>
      <c r="D155">
        <v>4</v>
      </c>
      <c r="E155">
        <v>1</v>
      </c>
      <c r="F155">
        <v>1</v>
      </c>
      <c r="G155" t="s">
        <v>9</v>
      </c>
      <c r="H155" t="s">
        <v>10</v>
      </c>
    </row>
    <row r="156" spans="1:8" x14ac:dyDescent="0.25">
      <c r="A156">
        <v>2025</v>
      </c>
      <c r="B156">
        <v>50</v>
      </c>
      <c r="C156" t="s">
        <v>17</v>
      </c>
      <c r="D156">
        <v>4</v>
      </c>
      <c r="E156">
        <v>1</v>
      </c>
      <c r="F156">
        <v>1</v>
      </c>
      <c r="G156" t="s">
        <v>11</v>
      </c>
      <c r="H156" t="s">
        <v>10</v>
      </c>
    </row>
    <row r="157" spans="1:8" x14ac:dyDescent="0.25">
      <c r="A157">
        <v>2025</v>
      </c>
      <c r="B157">
        <v>51</v>
      </c>
      <c r="C157" t="s">
        <v>17</v>
      </c>
      <c r="D157">
        <v>0</v>
      </c>
      <c r="E157">
        <v>0</v>
      </c>
      <c r="F157">
        <v>0</v>
      </c>
      <c r="G157" t="s">
        <v>11</v>
      </c>
      <c r="H157" t="s">
        <v>10</v>
      </c>
    </row>
    <row r="158" spans="1:8" x14ac:dyDescent="0.25">
      <c r="A158">
        <v>2025</v>
      </c>
      <c r="B158">
        <v>52</v>
      </c>
      <c r="C158" t="s">
        <v>17</v>
      </c>
      <c r="D158">
        <v>0</v>
      </c>
      <c r="E158">
        <v>0</v>
      </c>
      <c r="F158">
        <v>0</v>
      </c>
      <c r="G158" t="s">
        <v>11</v>
      </c>
      <c r="H158" t="s">
        <v>10</v>
      </c>
    </row>
    <row r="159" spans="1:8" x14ac:dyDescent="0.25">
      <c r="A159">
        <v>2025</v>
      </c>
      <c r="B159">
        <v>53</v>
      </c>
      <c r="C159" t="s">
        <v>17</v>
      </c>
      <c r="D159">
        <v>0</v>
      </c>
      <c r="E159">
        <v>0</v>
      </c>
      <c r="F159">
        <v>0</v>
      </c>
      <c r="G159" t="s">
        <v>11</v>
      </c>
      <c r="H159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CCA</vt:lpstr>
      <vt:lpstr>MNC</vt:lpstr>
      <vt:lpstr>MNA</vt:lpstr>
      <vt:lpstr>HLA</vt:lpstr>
      <vt:lpstr>CLM</vt:lpstr>
      <vt:lpstr>EUA</vt:lpstr>
      <vt:lpstr>CCA!Área_de_impresión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CRISJENN</dc:creator>
  <cp:lastModifiedBy>CRISJENN</cp:lastModifiedBy>
  <cp:lastPrinted>2026-07-24T03:55:53Z</cp:lastPrinted>
  <dcterms:created xsi:type="dcterms:W3CDTF">2026-07-24T03:52:14Z</dcterms:created>
  <dcterms:modified xsi:type="dcterms:W3CDTF">2026-07-26T04:44:21Z</dcterms:modified>
</cp:coreProperties>
</file>